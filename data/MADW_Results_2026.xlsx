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Riders" sheetId="3" state="visible" r:id="rId5"/>
    <sheet name="Events" sheetId="4" state="visible" r:id="rId6"/>
    <sheet name="Results" sheetId="5" state="visible" r:id="rId7"/>
    <sheet name="Matrix" sheetId="6" state="visible" r:id="rId8"/>
  </sheets>
  <definedNames>
    <definedName function="false" hidden="true" localSheetId="3" name="_xlnm._FilterDatabase" vbProcedure="false">Events!$A$1:$Q$67</definedName>
    <definedName function="false" hidden="true" localSheetId="4" name="_xlnm._FilterDatabase" vbProcedure="false">Results!$A$1:$P$482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<sst xmlns="http://schemas.openxmlformats.org/spreadsheetml/2006/main" count="3837" uniqueCount="508">
  <si>
    <t xml:space="preserve">MAT Atom Deweloper Wrocław — riders, races and results 2026</t>
  </si>
  <si>
    <t xml:space="preserve">Compiled 30 Sep 2026 from public sources. Every result row carries its source link (Results sheet, column J).</t>
  </si>
  <si>
    <t xml:space="preserve">Sheets</t>
  </si>
  <si>
    <t xml:space="preserve">Summary – team totals (formulas).</t>
  </si>
  <si>
    <t xml:space="preserve">Riders – the 20 riders on atomteam.pl (12 Continental, 8 Junior) with counts of wins, podiums, top 10s, DNFs and national titles.</t>
  </si>
  <si>
    <t xml:space="preserve">Events – the 50 entries of the 2026 team calendar (E01–E50) plus 16 races found in results databases that are not on the published calendar (X01–X16).</t>
  </si>
  <si>
    <t xml:space="preserve">Results – one row per rider per classification: stage, general classification, track event or category. This is the only sheet to edit; everything else recalculates.</t>
  </si>
  <si>
    <t xml:space="preserve">Matrix – best result per rider per event, coloured by place.</t>
  </si>
  <si>
    <t xml:space="preserve">Sources</t>
  </si>
  <si>
    <t xml:space="preserve">UCI races, national championships and track championships: CyclingFlash rider profiles (cyclingflash.com/profile/&lt;rider&gt;), which list full finishing positions including DNFs.</t>
  </si>
  <si>
    <t xml:space="preserve">Polish domestic races (Polish Cups, criteriums, Sowiogórski Tour, track and TTT championships): naszosie.pl race reports.</t>
  </si>
  <si>
    <t xml:space="preserve">Three items appear only in the team's own Instagram post (elimination races at the Youth Polish Track Championships; Polish MTB marathon championships). They are marked with the team Instagram as source.</t>
  </si>
  <si>
    <t xml:space="preserve">ProCyclingStats and FirstCycling block automated access, so their data could not be used or cross-checked.</t>
  </si>
  <si>
    <t xml:space="preserve">Limits to check before publishing anything from this file</t>
  </si>
  <si>
    <t xml:space="preserve">1. Polish domestic race reports usually name only the podium, so lower placings in those races are missing. A missing row does not mean the rider did not start.</t>
  </si>
  <si>
    <t xml:space="preserve">2. Events with status 'No team result found' may still have had team starters: E11 Trofeo Cinelli, E17 Polish Cup Lubartów, E23 In Flanders Fields (team raced E24 the same day), E26 Sportland NÖ Women Tour, E31 Polish Cup Chrzypsko Wielkie, E42 Egmont Cycling Race, E43 Giro Toscana, E47 Strzelin.</t>
  </si>
  <si>
    <t xml:space="preserve">3. Assumed mappings: E22 'Polish Cup Zamość' = the round reported from Suchowola; E48 'Memoriał Szozdy' = the Polish criterium championship final in Prudnik; E44 women's mountain titles were decided on 14 Aug within the Sowiogórski Tour.</t>
  </si>
  <si>
    <t xml:space="preserve">4. Corrections to the team calendar text: E01 is the 4th edition (not 44th); E12 NXT Classic is class 1.2; E35 raced as Respect Ladies Race Slovakia.</t>
  </si>
  <si>
    <t xml:space="preserve">5. Some rows come from races where riders started for their national team or another affiliation (UEC/UCI track events, Worlds, X04 and X08). They are kept because they are part of each rider's season.</t>
  </si>
  <si>
    <t xml:space="preserve">6. E49 UEC Road European Championships (3–7 Oct) and E50 Polish Track Junior/U23 Championships (23–25 Oct) were still to come on 30 Sep.</t>
  </si>
  <si>
    <t xml:space="preserve">7. Use column L 'Checked by team' on the Results sheet to sign off each row.</t>
  </si>
  <si>
    <t xml:space="preserve">8. Titles and medals on the Summary sheet count Polish national championships only, each title once even when several riders share it (pairs, team time trial, team pursuit). Race-day results of the criterium final (E48) are not titles; the title is the series classification.</t>
  </si>
  <si>
    <t xml:space="preserve">MAT Atom Deweloper Wrocław — season 2026</t>
  </si>
  <si>
    <t xml:space="preserve">All figures are formulas over the Results and Events sheets.</t>
  </si>
  <si>
    <t xml:space="preserve">As-of date</t>
  </si>
  <si>
    <t xml:space="preserve">Events after this date count as Upcoming.</t>
  </si>
  <si>
    <t xml:space="preserve">Measure</t>
  </si>
  <si>
    <t xml:space="preserve">Value</t>
  </si>
  <si>
    <t xml:space="preserve">Result rows entered</t>
  </si>
  <si>
    <t xml:space="preserve">Riders with at least one result</t>
  </si>
  <si>
    <t xml:space="preserve">Wins (any classification or category)</t>
  </si>
  <si>
    <t xml:space="preserve">Podium places (1–3)</t>
  </si>
  <si>
    <t xml:space="preserve">Top-10 places</t>
  </si>
  <si>
    <t xml:space="preserve">DNF</t>
  </si>
  <si>
    <t xml:space="preserve">Polish national titles (distinct; team and pairs titles counted once)</t>
  </si>
  <si>
    <t xml:space="preserve">Polish national championship medals (distinct)</t>
  </si>
  <si>
    <t xml:space="preserve">National championship golds counted per rider (a team title counts for each rider)</t>
  </si>
  <si>
    <t xml:space="preserve">Calendar events with team results</t>
  </si>
  <si>
    <t xml:space="preserve">Calendar events upcoming</t>
  </si>
  <si>
    <t xml:space="preserve">Calendar races with no team result found</t>
  </si>
  <si>
    <t xml:space="preserve">Extra races not on the published calendar</t>
  </si>
  <si>
    <t xml:space="preserve">Riders 2026</t>
  </si>
  <si>
    <t xml:space="preserve">Counts come from the Results sheet. Positions count across every classification and category entered.</t>
  </si>
  <si>
    <t xml:space="preserve">Rider</t>
  </si>
  <si>
    <t xml:space="preserve">Nat.</t>
  </si>
  <si>
    <t xml:space="preserve">Squad</t>
  </si>
  <si>
    <t xml:space="preserve">Category</t>
  </si>
  <si>
    <t xml:space="preserve">Instagram</t>
  </si>
  <si>
    <t xml:space="preserve">Results profile</t>
  </si>
  <si>
    <t xml:space="preserve">Result rows</t>
  </si>
  <si>
    <t xml:space="preserve">Events with results</t>
  </si>
  <si>
    <t xml:space="preserve">Wins</t>
  </si>
  <si>
    <t xml:space="preserve">Podiums (1–3)</t>
  </si>
  <si>
    <t xml:space="preserve">Top 10</t>
  </si>
  <si>
    <t xml:space="preserve">National championship golds</t>
  </si>
  <si>
    <t xml:space="preserve">Notes</t>
  </si>
  <si>
    <t xml:space="preserve">Olga Wankiewicz</t>
  </si>
  <si>
    <t xml:space="preserve">POL</t>
  </si>
  <si>
    <t xml:space="preserve">Continental</t>
  </si>
  <si>
    <t xml:space="preserve">Elite</t>
  </si>
  <si>
    <t xml:space="preserve">@olga_wankiewicz</t>
  </si>
  <si>
    <t xml:space="preserve">https://cyclingflash.com/profile/olga-wankiewicz</t>
  </si>
  <si>
    <t xml:space="preserve">Tamara Szalińska</t>
  </si>
  <si>
    <t xml:space="preserve">@tamara_szalinska</t>
  </si>
  <si>
    <t xml:space="preserve">https://cyclingflash.com/profile/tamara-szalinska</t>
  </si>
  <si>
    <t xml:space="preserve">Maja Tracka</t>
  </si>
  <si>
    <t xml:space="preserve">U23</t>
  </si>
  <si>
    <t xml:space="preserve">@trackaaaa</t>
  </si>
  <si>
    <t xml:space="preserve">https://cyclingflash.com/profile/maja-tracka</t>
  </si>
  <si>
    <t xml:space="preserve">Martyna Szczęsna</t>
  </si>
  <si>
    <t xml:space="preserve">@szczesna.martynka</t>
  </si>
  <si>
    <t xml:space="preserve">https://cyclingflash.com/profile/martyna-szczesna</t>
  </si>
  <si>
    <t xml:space="preserve">Eliza Rabażyńska</t>
  </si>
  <si>
    <t xml:space="preserve">@elizaa_rabaa</t>
  </si>
  <si>
    <t xml:space="preserve">https://cyclingflash.com/profile/eliza-rabazynska</t>
  </si>
  <si>
    <t xml:space="preserve">Alicja Matuła</t>
  </si>
  <si>
    <t xml:space="preserve">@alqa.matula</t>
  </si>
  <si>
    <t xml:space="preserve">https://cyclingflash.com/profile/alicja-matula</t>
  </si>
  <si>
    <t xml:space="preserve">Urszula Sipko</t>
  </si>
  <si>
    <t xml:space="preserve">@ula_sipko</t>
  </si>
  <si>
    <t xml:space="preserve">https://cyclingflash.com/profile/urszula-sipko</t>
  </si>
  <si>
    <t xml:space="preserve">Sofia Ungerová</t>
  </si>
  <si>
    <t xml:space="preserve">SVK</t>
  </si>
  <si>
    <t xml:space="preserve">@s.ungerova</t>
  </si>
  <si>
    <t xml:space="preserve">https://cyclingflash.com/profile/sofia-ungerova</t>
  </si>
  <si>
    <t xml:space="preserve">Nadia Hartman</t>
  </si>
  <si>
    <t xml:space="preserve">@nadiaahartman</t>
  </si>
  <si>
    <t xml:space="preserve">https://cyclingflash.com/profile/nadia-hartman</t>
  </si>
  <si>
    <t xml:space="preserve">Anna Gaborska</t>
  </si>
  <si>
    <t xml:space="preserve">@a.gaborska</t>
  </si>
  <si>
    <t xml:space="preserve">https://cyclingflash.com/profile/anna-gaborska</t>
  </si>
  <si>
    <t xml:space="preserve">Gabriela Kaczmarczyk</t>
  </si>
  <si>
    <t xml:space="preserve">@g__kaczmarczyk</t>
  </si>
  <si>
    <t xml:space="preserve">https://cyclingflash.com/profile/gabriela-kaczmarczyk</t>
  </si>
  <si>
    <t xml:space="preserve">Daria Dębicka</t>
  </si>
  <si>
    <t xml:space="preserve">@__debicka__</t>
  </si>
  <si>
    <t xml:space="preserve">https://cyclingflash.com/profile/daria-debicka</t>
  </si>
  <si>
    <t xml:space="preserve">Linda Sitková</t>
  </si>
  <si>
    <t xml:space="preserve">CZE</t>
  </si>
  <si>
    <t xml:space="preserve">Junior</t>
  </si>
  <si>
    <t xml:space="preserve">U19</t>
  </si>
  <si>
    <t xml:space="preserve">@linda.sitkova</t>
  </si>
  <si>
    <t xml:space="preserve">https://cyclingflash.com/profile/linda-sitkova</t>
  </si>
  <si>
    <t xml:space="preserve">Kinga Słomka</t>
  </si>
  <si>
    <t xml:space="preserve">@kinga_sl0mka</t>
  </si>
  <si>
    <t xml:space="preserve">https://cyclingflash.com/profile/kinga-slomka</t>
  </si>
  <si>
    <t xml:space="preserve">Julia Pośpiech</t>
  </si>
  <si>
    <t xml:space="preserve">@_julia.pospiech</t>
  </si>
  <si>
    <t xml:space="preserve">https://cyclingflash.com/profile/julia-pospiech</t>
  </si>
  <si>
    <t xml:space="preserve">Julia Kołakowska</t>
  </si>
  <si>
    <t xml:space="preserve">@jula_kolakowska_</t>
  </si>
  <si>
    <t xml:space="preserve">https://cyclingflash.com/profile/julia-kolakowska</t>
  </si>
  <si>
    <t xml:space="preserve">Aniela Augustyniak</t>
  </si>
  <si>
    <t xml:space="preserve">@aniela_augustyniak</t>
  </si>
  <si>
    <t xml:space="preserve">https://cyclingflash.com/profile/aniela-augustyniak</t>
  </si>
  <si>
    <t xml:space="preserve">Agata Sekta</t>
  </si>
  <si>
    <t xml:space="preserve">@agata.sekta</t>
  </si>
  <si>
    <t xml:space="preserve">https://cyclingflash.com/profile/agata-sekta</t>
  </si>
  <si>
    <t xml:space="preserve">Zofia Glinka</t>
  </si>
  <si>
    <t xml:space="preserve">@zosiaglinkaa</t>
  </si>
  <si>
    <t xml:space="preserve">https://cyclingflash.com/profile/zofia-glinka</t>
  </si>
  <si>
    <t xml:space="preserve">Natalia Gacek</t>
  </si>
  <si>
    <t xml:space="preserve">@_na4alia_</t>
  </si>
  <si>
    <t xml:space="preserve">https://cyclingflash.com/profile/natalia-gacek</t>
  </si>
  <si>
    <t xml:space="preserve">Team total</t>
  </si>
  <si>
    <t xml:space="preserve">Event ID</t>
  </si>
  <si>
    <t xml:space="preserve">Start</t>
  </si>
  <si>
    <t xml:space="preserve">End</t>
  </si>
  <si>
    <t xml:space="preserve">Event</t>
  </si>
  <si>
    <t xml:space="preserve">Location</t>
  </si>
  <si>
    <t xml:space="preserve">Country</t>
  </si>
  <si>
    <t xml:space="preserve">Discipline</t>
  </si>
  <si>
    <t xml:space="preserve">Class</t>
  </si>
  <si>
    <t xml:space="preserve">On team calendar</t>
  </si>
  <si>
    <t xml:space="preserve">National championship</t>
  </si>
  <si>
    <t xml:space="preserve">Training</t>
  </si>
  <si>
    <t xml:space="preserve">Riders with results</t>
  </si>
  <si>
    <t xml:space="preserve">Best result</t>
  </si>
  <si>
    <t xml:space="preserve">Status</t>
  </si>
  <si>
    <t xml:space="preserve">E01</t>
  </si>
  <si>
    <t xml:space="preserve">4th Cyclocross im. Z. Hanusika</t>
  </si>
  <si>
    <t xml:space="preserve">Tychy</t>
  </si>
  <si>
    <t xml:space="preserve">CX</t>
  </si>
  <si>
    <t xml:space="preserve">Yes</t>
  </si>
  <si>
    <t xml:space="preserve">No</t>
  </si>
  <si>
    <t xml:space="preserve">Team site text read '44th'; naszosie reports the IV (4th) edition on 4 Jan.</t>
  </si>
  <si>
    <t xml:space="preserve">E02</t>
  </si>
  <si>
    <t xml:space="preserve">Przełajowe Mistrzostwa Polski (Polish CX Championships)</t>
  </si>
  <si>
    <t xml:space="preserve">Ełk</t>
  </si>
  <si>
    <t xml:space="preserve">NCh.</t>
  </si>
  <si>
    <t xml:space="preserve">E03</t>
  </si>
  <si>
    <t xml:space="preserve">UEC Track Elite European Championships</t>
  </si>
  <si>
    <t xml:space="preserve">Konya</t>
  </si>
  <si>
    <t xml:space="preserve">TUR</t>
  </si>
  <si>
    <t xml:space="preserve">TRACK</t>
  </si>
  <si>
    <t xml:space="preserve">ECh.</t>
  </si>
  <si>
    <t xml:space="preserve">Riders raced for Poland.</t>
  </si>
  <si>
    <t xml:space="preserve">E04</t>
  </si>
  <si>
    <t xml:space="preserve">Training consultation</t>
  </si>
  <si>
    <t xml:space="preserve">Pruszków</t>
  </si>
  <si>
    <t xml:space="preserve">E05</t>
  </si>
  <si>
    <t xml:space="preserve">Training camp</t>
  </si>
  <si>
    <t xml:space="preserve">CRO</t>
  </si>
  <si>
    <t xml:space="preserve">ROAD</t>
  </si>
  <si>
    <t xml:space="preserve">E06</t>
  </si>
  <si>
    <t xml:space="preserve">Polish Cup (track) – Puchar Polski</t>
  </si>
  <si>
    <t xml:space="preserve">E07</t>
  </si>
  <si>
    <t xml:space="preserve">UMAG Classic Ladies</t>
  </si>
  <si>
    <t xml:space="preserve">Umag</t>
  </si>
  <si>
    <t xml:space="preserve">1.2</t>
  </si>
  <si>
    <t xml:space="preserve">E08</t>
  </si>
  <si>
    <t xml:space="preserve">E09</t>
  </si>
  <si>
    <t xml:space="preserve">POREČ Classic Ladies</t>
  </si>
  <si>
    <t xml:space="preserve">Poreč</t>
  </si>
  <si>
    <t xml:space="preserve">E10</t>
  </si>
  <si>
    <t xml:space="preserve">Midwest Cycling Classic</t>
  </si>
  <si>
    <t xml:space="preserve">BEL</t>
  </si>
  <si>
    <t xml:space="preserve">1.1</t>
  </si>
  <si>
    <t xml:space="preserve">E11</t>
  </si>
  <si>
    <t xml:space="preserve">Trofeo Cinelli – VC Hlohovec</t>
  </si>
  <si>
    <t xml:space="preserve">Hlohovec</t>
  </si>
  <si>
    <t xml:space="preserve">E12</t>
  </si>
  <si>
    <t xml:space="preserve">NXT Classic</t>
  </si>
  <si>
    <t xml:space="preserve">NED</t>
  </si>
  <si>
    <t xml:space="preserve">Team site lists 1.1; CyclingFlash and naszosie list 1.2.</t>
  </si>
  <si>
    <t xml:space="preserve">E13</t>
  </si>
  <si>
    <t xml:space="preserve">Ronde de Mouscron</t>
  </si>
  <si>
    <t xml:space="preserve">Mouscron</t>
  </si>
  <si>
    <t xml:space="preserve">E14</t>
  </si>
  <si>
    <t xml:space="preserve">Scheldeprijs Vrouwen Elite</t>
  </si>
  <si>
    <t xml:space="preserve">1.Pro</t>
  </si>
  <si>
    <t xml:space="preserve">E15</t>
  </si>
  <si>
    <t xml:space="preserve">Ślężański Mnich</t>
  </si>
  <si>
    <t xml:space="preserve">E16</t>
  </si>
  <si>
    <t xml:space="preserve">De Brabantse Pijl</t>
  </si>
  <si>
    <t xml:space="preserve">Overijse</t>
  </si>
  <si>
    <t xml:space="preserve">E17</t>
  </si>
  <si>
    <t xml:space="preserve">Polish Cup (road)</t>
  </si>
  <si>
    <t xml:space="preserve">Lubartów</t>
  </si>
  <si>
    <t xml:space="preserve">E18</t>
  </si>
  <si>
    <t xml:space="preserve">EPZ Omloop van Borsele</t>
  </si>
  <si>
    <t xml:space="preserve">'s-Heerenhoek</t>
  </si>
  <si>
    <t xml:space="preserve">2.Ncup</t>
  </si>
  <si>
    <t xml:space="preserve">Junior Nations Cup; juniors raced.</t>
  </si>
  <si>
    <t xml:space="preserve">E19</t>
  </si>
  <si>
    <t xml:space="preserve">Lubań / Leśna</t>
  </si>
  <si>
    <t xml:space="preserve">ITT in Lubań, road race in Leśna.</t>
  </si>
  <si>
    <t xml:space="preserve">E20</t>
  </si>
  <si>
    <t xml:space="preserve">Gracia Orlová</t>
  </si>
  <si>
    <t xml:space="preserve">Orlová</t>
  </si>
  <si>
    <t xml:space="preserve">2.2</t>
  </si>
  <si>
    <t xml:space="preserve">E21</t>
  </si>
  <si>
    <t xml:space="preserve">Criterium Lubawa (MP criterium qualifier)</t>
  </si>
  <si>
    <t xml:space="preserve">Lubawa</t>
  </si>
  <si>
    <t xml:space="preserve">E22</t>
  </si>
  <si>
    <t xml:space="preserve">Zamość (reported: Suchowola)</t>
  </si>
  <si>
    <t xml:space="preserve">naszosie reports this Lublin-region round from Suchowola; mapped here as the same round – please confirm.</t>
  </si>
  <si>
    <t xml:space="preserve">E23</t>
  </si>
  <si>
    <t xml:space="preserve">In Flanders Fields</t>
  </si>
  <si>
    <t xml:space="preserve">Same day as Trofee Maarten Wynants (E24); team results found only for E24.</t>
  </si>
  <si>
    <t xml:space="preserve">E24</t>
  </si>
  <si>
    <t xml:space="preserve">Trofee Maarten Wynants</t>
  </si>
  <si>
    <t xml:space="preserve">Houthalen</t>
  </si>
  <si>
    <t xml:space="preserve">E25</t>
  </si>
  <si>
    <t xml:space="preserve">Tour de Feminin</t>
  </si>
  <si>
    <t xml:space="preserve">Krásná Lípa</t>
  </si>
  <si>
    <t xml:space="preserve">Stage 1 was a 12 km team time trial.</t>
  </si>
  <si>
    <t xml:space="preserve">E26</t>
  </si>
  <si>
    <t xml:space="preserve">Sportland Niederösterreich Women Tour</t>
  </si>
  <si>
    <t xml:space="preserve">AUT</t>
  </si>
  <si>
    <t xml:space="preserve">E27</t>
  </si>
  <si>
    <t xml:space="preserve">Polish Cup (road) – Lubuskie Warte Zachodu</t>
  </si>
  <si>
    <t xml:space="preserve">Zielona Góra (Racula / Zabór)</t>
  </si>
  <si>
    <t xml:space="preserve">E28</t>
  </si>
  <si>
    <t xml:space="preserve">Darłowo (Dąbki / Jarosławiec)</t>
  </si>
  <si>
    <t xml:space="preserve">E29</t>
  </si>
  <si>
    <t xml:space="preserve">Dwars door de Westhoek</t>
  </si>
  <si>
    <t xml:space="preserve">E30</t>
  </si>
  <si>
    <t xml:space="preserve">Koziegłowy / Pińczyce</t>
  </si>
  <si>
    <t xml:space="preserve">E31</t>
  </si>
  <si>
    <t xml:space="preserve">Polish Cup (road) – Memoriał Tomka Jakubowskiego</t>
  </si>
  <si>
    <t xml:space="preserve">Chrzypsko Wielkie / Lusowo</t>
  </si>
  <si>
    <t xml:space="preserve">No team rider in the places reported by naszosie.</t>
  </si>
  <si>
    <t xml:space="preserve">E32</t>
  </si>
  <si>
    <t xml:space="preserve">LOTTO Thüringen Women Cycling Challenge</t>
  </si>
  <si>
    <t xml:space="preserve">GER</t>
  </si>
  <si>
    <t xml:space="preserve">E33</t>
  </si>
  <si>
    <t xml:space="preserve">Polish Road Championships (ITT + road race)</t>
  </si>
  <si>
    <t xml:space="preserve">ITT 25 Jun, U19 road race 28 Jun, elite/U23 road race 27 Jun.</t>
  </si>
  <si>
    <t xml:space="preserve">E34</t>
  </si>
  <si>
    <t xml:space="preserve">UEC Track Junior &amp; U23 European Championships</t>
  </si>
  <si>
    <t xml:space="preserve">Cottbus</t>
  </si>
  <si>
    <t xml:space="preserve">E35</t>
  </si>
  <si>
    <t xml:space="preserve">Respect Ladies Race Slovakia</t>
  </si>
  <si>
    <t xml:space="preserve">Listed on the team site as Groupama Ladies Race Slovakia.</t>
  </si>
  <si>
    <t xml:space="preserve">E36</t>
  </si>
  <si>
    <t xml:space="preserve">Tour de Pologne Women</t>
  </si>
  <si>
    <t xml:space="preserve">Zamość – Lublin</t>
  </si>
  <si>
    <t xml:space="preserve">2.Pro</t>
  </si>
  <si>
    <t xml:space="preserve">E37</t>
  </si>
  <si>
    <t xml:space="preserve">Watersley Ladies Challenge</t>
  </si>
  <si>
    <t xml:space="preserve">Watersley</t>
  </si>
  <si>
    <t xml:space="preserve">E38</t>
  </si>
  <si>
    <t xml:space="preserve">Criterium Grudziądz (Puchar Prezydenta Grudziądza)</t>
  </si>
  <si>
    <t xml:space="preserve">Grudziądz</t>
  </si>
  <si>
    <t xml:space="preserve">naszosie dates the race 8 Aug 2026.</t>
  </si>
  <si>
    <t xml:space="preserve">E39</t>
  </si>
  <si>
    <t xml:space="preserve">Kryterium Uliczne – Nagroda Gruczna</t>
  </si>
  <si>
    <t xml:space="preserve">Gruczno</t>
  </si>
  <si>
    <t xml:space="preserve">naszosie report published 9 Aug 2026.</t>
  </si>
  <si>
    <t xml:space="preserve">E40</t>
  </si>
  <si>
    <t xml:space="preserve">Polish Elite Track Championships</t>
  </si>
  <si>
    <t xml:space="preserve">naszosie reports 1–3 Aug 2026.</t>
  </si>
  <si>
    <t xml:space="preserve">E41</t>
  </si>
  <si>
    <t xml:space="preserve">Sowiogórski Tour</t>
  </si>
  <si>
    <t xml:space="preserve">Prologue 13 Aug per naszosie.</t>
  </si>
  <si>
    <t xml:space="preserve">E42</t>
  </si>
  <si>
    <t xml:space="preserve">Egmont Cycling Race Women</t>
  </si>
  <si>
    <t xml:space="preserve">Zottegem</t>
  </si>
  <si>
    <t xml:space="preserve">E43</t>
  </si>
  <si>
    <t xml:space="preserve">Premondiale Giro Toscana Int. Femminile</t>
  </si>
  <si>
    <t xml:space="preserve">ITA</t>
  </si>
  <si>
    <t xml:space="preserve">E44</t>
  </si>
  <si>
    <t xml:space="preserve">Górskie Szosowe Mistrzostwa Polski (mountain road champs)</t>
  </si>
  <si>
    <t xml:space="preserve">Women's titles were decided on 14 Aug within stage 2 of the Sowiogórski Tour (naszosie).</t>
  </si>
  <si>
    <t xml:space="preserve">E45</t>
  </si>
  <si>
    <t xml:space="preserve">55. Ogólnopolskie Kryterium Kolarskie</t>
  </si>
  <si>
    <t xml:space="preserve">Wieluń</t>
  </si>
  <si>
    <t xml:space="preserve">MP criterium qualifier.</t>
  </si>
  <si>
    <t xml:space="preserve">E46</t>
  </si>
  <si>
    <t xml:space="preserve">Polish Pairs &amp; Team Time Trial Championships</t>
  </si>
  <si>
    <t xml:space="preserve">TTT</t>
  </si>
  <si>
    <t xml:space="preserve">Pairs 12 Sep, teams 13 Sep.</t>
  </si>
  <si>
    <t xml:space="preserve">E47</t>
  </si>
  <si>
    <t xml:space="preserve">Puchar Starosty Strzelińskiego</t>
  </si>
  <si>
    <t xml:space="preserve">Strzelin</t>
  </si>
  <si>
    <t xml:space="preserve">E48</t>
  </si>
  <si>
    <t xml:space="preserve">Memoriał im. Stanisława Szozdy – MP criterium final</t>
  </si>
  <si>
    <t xml:space="preserve">Prudnik</t>
  </si>
  <si>
    <t xml:space="preserve">naszosie reports the Polish criterium championship final in Prudnik (report 21 Sep); mapped to the Szozda memorial – please confirm.</t>
  </si>
  <si>
    <t xml:space="preserve">E49</t>
  </si>
  <si>
    <t xml:space="preserve">UEC Road European Championships</t>
  </si>
  <si>
    <t xml:space="preserve">Ljubljana</t>
  </si>
  <si>
    <t xml:space="preserve">SLO</t>
  </si>
  <si>
    <t xml:space="preserve">E50</t>
  </si>
  <si>
    <t xml:space="preserve">Polish Track Junior/U23 Championships</t>
  </si>
  <si>
    <t xml:space="preserve">X01</t>
  </si>
  <si>
    <t xml:space="preserve">Piccolo Trofeo Alfredo Binda – Valli del Verbano (juniors)</t>
  </si>
  <si>
    <t xml:space="preserve">Cittiglio</t>
  </si>
  <si>
    <t xml:space="preserve">1.Ncup</t>
  </si>
  <si>
    <t xml:space="preserve">X02</t>
  </si>
  <si>
    <t xml:space="preserve">UCI Track Nations Cup – Hong Kong</t>
  </si>
  <si>
    <t xml:space="preserve">Hong Kong</t>
  </si>
  <si>
    <t xml:space="preserve">HKG</t>
  </si>
  <si>
    <t xml:space="preserve">CDM</t>
  </si>
  <si>
    <t xml:space="preserve">Raced for Poland.</t>
  </si>
  <si>
    <t xml:space="preserve">X03</t>
  </si>
  <si>
    <t xml:space="preserve">UCI Track Nations Cup – Nilai</t>
  </si>
  <si>
    <t xml:space="preserve">Nilai</t>
  </si>
  <si>
    <t xml:space="preserve">MAS</t>
  </si>
  <si>
    <t xml:space="preserve">X04</t>
  </si>
  <si>
    <t xml:space="preserve">Tour du Gévaudan Occitanie femmes</t>
  </si>
  <si>
    <t xml:space="preserve">Mende</t>
  </si>
  <si>
    <t xml:space="preserve">FRA</t>
  </si>
  <si>
    <t xml:space="preserve">Team affiliation for this start not confirmed.</t>
  </si>
  <si>
    <t xml:space="preserve">X05</t>
  </si>
  <si>
    <t xml:space="preserve">3 Nations Cup – MTB Festival Vlaanderen</t>
  </si>
  <si>
    <t xml:space="preserve">MTB</t>
  </si>
  <si>
    <t xml:space="preserve">X06</t>
  </si>
  <si>
    <t xml:space="preserve">Slovak National Road Championships</t>
  </si>
  <si>
    <t xml:space="preserve">X07</t>
  </si>
  <si>
    <t xml:space="preserve">Czech National Road Championships</t>
  </si>
  <si>
    <t xml:space="preserve">X08</t>
  </si>
  <si>
    <t xml:space="preserve">VALROMEY Tour Féminin</t>
  </si>
  <si>
    <t xml:space="preserve">X09</t>
  </si>
  <si>
    <t xml:space="preserve">Polish MTB Championships (XCO / XCC)</t>
  </si>
  <si>
    <t xml:space="preserve">X10</t>
  </si>
  <si>
    <t xml:space="preserve">UCI Junior Track World Championships</t>
  </si>
  <si>
    <t xml:space="preserve">CM</t>
  </si>
  <si>
    <t xml:space="preserve">X11</t>
  </si>
  <si>
    <t xml:space="preserve">GP Lucien Van Impe</t>
  </si>
  <si>
    <t xml:space="preserve">X12</t>
  </si>
  <si>
    <t xml:space="preserve">Konvert Kortrijk Koerse</t>
  </si>
  <si>
    <t xml:space="preserve">Kortrijk</t>
  </si>
  <si>
    <t xml:space="preserve">X13</t>
  </si>
  <si>
    <t xml:space="preserve">Druivenkoers – Overijse (juniors)</t>
  </si>
  <si>
    <t xml:space="preserve">X14</t>
  </si>
  <si>
    <t xml:space="preserve">UCI Road World Championships</t>
  </si>
  <si>
    <t xml:space="preserve">Montréal</t>
  </si>
  <si>
    <t xml:space="preserve">CAN</t>
  </si>
  <si>
    <t xml:space="preserve">Raced for their national teams.</t>
  </si>
  <si>
    <t xml:space="preserve">X15</t>
  </si>
  <si>
    <t xml:space="preserve">Youth Polish Track Championships – non-Olympic events (MMP)</t>
  </si>
  <si>
    <t xml:space="preserve">Exact dates not in source (report 28 Sep).</t>
  </si>
  <si>
    <t xml:space="preserve">X16</t>
  </si>
  <si>
    <t xml:space="preserve">Polish MTB Marathon Championships</t>
  </si>
  <si>
    <t xml:space="preserve">Date not in source (team Instagram post).</t>
  </si>
  <si>
    <t xml:space="preserve">Date</t>
  </si>
  <si>
    <t xml:space="preserve">Stage / discipline</t>
  </si>
  <si>
    <t xml:space="preserve">Position</t>
  </si>
  <si>
    <t xml:space="preserve">Source</t>
  </si>
  <si>
    <t xml:space="preserve">Checked by team</t>
  </si>
  <si>
    <t xml:space="preserve">Rider×event first row</t>
  </si>
  <si>
    <t xml:space="preserve">Title (first row)</t>
  </si>
  <si>
    <t xml:space="preserve">Medal (first row)</t>
  </si>
  <si>
    <t xml:space="preserve">One-day race</t>
  </si>
  <si>
    <t xml:space="preserve">Classified</t>
  </si>
  <si>
    <t xml:space="preserve">Road race</t>
  </si>
  <si>
    <t xml:space="preserve">https://naszosie.pl/2026/04/12/slezanski-mnich-2026-mat-atom-deweloper-wroclaw-zgarnia-cale-podium/</t>
  </si>
  <si>
    <t xml:space="preserve">Team pursuit</t>
  </si>
  <si>
    <t xml:space="preserve">Madison</t>
  </si>
  <si>
    <t xml:space="preserve">Omnium</t>
  </si>
  <si>
    <t xml:space="preserve">Stage 1 (TTT, 12 km)</t>
  </si>
  <si>
    <t xml:space="preserve">Stage 2</t>
  </si>
  <si>
    <t xml:space="preserve">Stage 3</t>
  </si>
  <si>
    <t xml:space="preserve">Stage 4</t>
  </si>
  <si>
    <t xml:space="preserve">General classification (final)</t>
  </si>
  <si>
    <t xml:space="preserve">Stage 1</t>
  </si>
  <si>
    <t xml:space="preserve">With Kaczmarczyk, Tracka, Sipko, Szczęsna</t>
  </si>
  <si>
    <t xml:space="preserve">https://naszosie.pl/2026/08/02/mistrzostwa-polski-elity-w-kolarstwie-torowym-2026-wyniki-z-1-dnia/</t>
  </si>
  <si>
    <t xml:space="preserve">Elimination race</t>
  </si>
  <si>
    <t xml:space="preserve">https://naszosie.pl/2026/08/02/mistrzostwa-polski-elity-w-kolarstwie-torowym-wyniki-z-2-dnia/</t>
  </si>
  <si>
    <t xml:space="preserve">With Szczęsna</t>
  </si>
  <si>
    <t xml:space="preserve">https://naszosie.pl/2026/08/03/mistrzostwa-polski-elity-w-kolarstwie-torowym-2026-wyniki-z-3-dnia/</t>
  </si>
  <si>
    <t xml:space="preserve">Individual pursuit</t>
  </si>
  <si>
    <t xml:space="preserve">ITT (Racula)</t>
  </si>
  <si>
    <t xml:space="preserve">https://naszosie.pl/2026/05/25/puchar-polski-2026-wyniki-z-zielonej-gory/</t>
  </si>
  <si>
    <t xml:space="preserve">ITT</t>
  </si>
  <si>
    <t xml:space="preserve">Second team squad</t>
  </si>
  <si>
    <t xml:space="preserve">Points race</t>
  </si>
  <si>
    <t xml:space="preserve">With Sipko</t>
  </si>
  <si>
    <t xml:space="preserve">ITT (Lubań)</t>
  </si>
  <si>
    <t xml:space="preserve">https://naszosie.pl/2026/04/27/puchar-polski-2026-wyniki-z-lubania-i-lesnej/</t>
  </si>
  <si>
    <t xml:space="preserve">Road race (Leśna)</t>
  </si>
  <si>
    <t xml:space="preserve">Stage 5</t>
  </si>
  <si>
    <t xml:space="preserve">ITT (Dąbki)</t>
  </si>
  <si>
    <t xml:space="preserve">Women open (U23 + junior)</t>
  </si>
  <si>
    <t xml:space="preserve">https://naszosie.pl/2026/06/01/puchar-polski-2026-wyniki-z-dabek-i-jaroslawca/</t>
  </si>
  <si>
    <t xml:space="preserve">Polish U23 time trial champion</t>
  </si>
  <si>
    <t xml:space="preserve">Poland: Sipko, Tracka, Szczęsna, Rabażyńska</t>
  </si>
  <si>
    <t xml:space="preserve">https://naszosie.pl/2026/07/10/mlodziezowe-mistrzostwa-europy-na-torze-2026-braz-orliczek-w-wyscigu-druzynowym/</t>
  </si>
  <si>
    <t xml:space="preserve">Did not finish the tempo race</t>
  </si>
  <si>
    <t xml:space="preserve">https://naszosie.pl/2026/07/11/mlodziezowe-mistrzostwa-europy-na-torze-2026-polskie-wyniki-z-5-dnia/</t>
  </si>
  <si>
    <t xml:space="preserve">With Kaczmarczyk, Wankiewicz, Sipko, Szczęsna</t>
  </si>
  <si>
    <t xml:space="preserve">Scratch</t>
  </si>
  <si>
    <t xml:space="preserve">Pairs TT</t>
  </si>
  <si>
    <t xml:space="preserve">https://naszosie.pl/2026/09/12/mistrzostwa-polski-dwojek-i-druzyn-2026-wyniki-zmagan-duetow/</t>
  </si>
  <si>
    <t xml:space="preserve">Team TT</t>
  </si>
  <si>
    <t xml:space="preserve">With Szczęsna, Hartman, Gaborska</t>
  </si>
  <si>
    <t xml:space="preserve">https://naszosie.pl/2026/09/13/mistrzostwa-polski-dwojek-i-druzyn-2026-wyniki-zmagan-zespolow/</t>
  </si>
  <si>
    <t xml:space="preserve">https://naszosie.pl/2026/07/07/mlodziezowe-mistrzostwa-europy-na-torze-2026-polskie-wyniki-z-1-dnia-rywalizacji/</t>
  </si>
  <si>
    <t xml:space="preserve">With Rabażyńska</t>
  </si>
  <si>
    <t xml:space="preserve">https://naszosie.pl/2026/07/12/mlodziezowe-mistrzostwa-europy-na-torze-2026-urszula-sipko-z-brazowym-medalem/</t>
  </si>
  <si>
    <t xml:space="preserve">With Kaczmarczyk, Tracka, Wankiewicz, Sipko</t>
  </si>
  <si>
    <t xml:space="preserve">4 km individual pursuit</t>
  </si>
  <si>
    <t xml:space="preserve">With Wankiewicz</t>
  </si>
  <si>
    <t xml:space="preserve">Prologue</t>
  </si>
  <si>
    <t xml:space="preserve">https://naszosie.pl/2026/08/13/sowiogorski-tour-2026-szczesna-jedrysek-sitkova-i-bartyzel-najlepsi-w-prologu/</t>
  </si>
  <si>
    <t xml:space="preserve">https://naszosie.pl/2026/08/14/sowiogorski-tour-2026-martyna-szczesna-z-etapem-i-tytulem-gorskiej-szosowej-mistrzyni-polski/</t>
  </si>
  <si>
    <t xml:space="preserve">Stage 3 (ITT)</t>
  </si>
  <si>
    <t xml:space="preserve">https://naszosie.pl/2026/08/15/sowiogorski-tour-2026-3-dzien-zmagan-pod-znakiem-czasowek-w-swidnicy/</t>
  </si>
  <si>
    <t xml:space="preserve">https://naszosie.pl/2026/08/16/sowiogorski-tour-2026-krolowa-martyna-szczesna-wyniki-4-dnia-rywalizacji/</t>
  </si>
  <si>
    <t xml:space="preserve">Also won the mountains classification</t>
  </si>
  <si>
    <t xml:space="preserve">Mountain road championship</t>
  </si>
  <si>
    <t xml:space="preserve">Decided within Sowiogórski Tour stage 2</t>
  </si>
  <si>
    <t xml:space="preserve">With Tracka</t>
  </si>
  <si>
    <t xml:space="preserve">With Tracka, Hartman, Gaborska</t>
  </si>
  <si>
    <t xml:space="preserve">Criterium final</t>
  </si>
  <si>
    <t xml:space="preserve">Women open</t>
  </si>
  <si>
    <t xml:space="preserve">https://naszosie.pl/2026/09/21/mistrzostwa-polski-w-kryterium-2026-wyniki-finalu-w-prudniku/</t>
  </si>
  <si>
    <t xml:space="preserve">4 km individual race</t>
  </si>
  <si>
    <t xml:space="preserve">https://naszosie.pl/2026/09/28/mlodziezowe-mistrzostwa-polski-na-torze-w-konkurencjach-nieolimpijskich-2026-wyniki/</t>
  </si>
  <si>
    <t xml:space="preserve">1000 m time trial</t>
  </si>
  <si>
    <t xml:space="preserve">Criterium</t>
  </si>
  <si>
    <t xml:space="preserve">https://naszosie.pl/2026/05/05/eliminacje-mistrzostw-polski-w-kryterium-2026-wyniki-z-lubawy/</t>
  </si>
  <si>
    <t xml:space="preserve">With Kaczmarczyk</t>
  </si>
  <si>
    <t xml:space="preserve">https://www.instagram.com/atomdeweloper_team/ (team post, embedded on atomteam.pl)</t>
  </si>
  <si>
    <t xml:space="preserve">Cyclocross</t>
  </si>
  <si>
    <t xml:space="preserve">Polish U23 CX champion</t>
  </si>
  <si>
    <t xml:space="preserve">https://naszosie.pl/2026/01/17/mat-atom-deweloper-wroclaw-od-snieznych-przelajow-po-swiatowe-transfery/</t>
  </si>
  <si>
    <t xml:space="preserve">Mixed relay</t>
  </si>
  <si>
    <t xml:space="preserve">Mixed</t>
  </si>
  <si>
    <t xml:space="preserve">Club relay with Słomka and two male riders</t>
  </si>
  <si>
    <t xml:space="preserve">https://naszosie.pl/2026/06/15/puchar-polski-2026-wyniki-z-kozieglow-i-pinczyc/</t>
  </si>
  <si>
    <t xml:space="preserve">https://naszosie.pl/2026/08/08/miedzynarodowe-kryterium-uliczne-o-puchar-prezydenta-grudziadza-2026-wyniki/</t>
  </si>
  <si>
    <t xml:space="preserve">https://naszosie.pl/2026/08/09/miedzynarodowe-kryterium-uliczne-o-nagrode-gruczna-2026-wyniki/</t>
  </si>
  <si>
    <t xml:space="preserve">With Sipko, Kaczmarczyk, Dębicka</t>
  </si>
  <si>
    <t xml:space="preserve">MP criterium series – final classification</t>
  </si>
  <si>
    <t xml:space="preserve">Polish criterium champion (series)</t>
  </si>
  <si>
    <t xml:space="preserve">Marathon</t>
  </si>
  <si>
    <t xml:space="preserve">Polish U23 MTB marathon champion</t>
  </si>
  <si>
    <t xml:space="preserve">Mountains classification (final)</t>
  </si>
  <si>
    <t xml:space="preserve">https://naszosie.pl/2026/05/03/gracia-orlova-2026-dublet-kolarek-mat-atom-deweloper-wroclaw-ungerova-przed-sipko/</t>
  </si>
  <si>
    <t xml:space="preserve">Points classification (final)</t>
  </si>
  <si>
    <t xml:space="preserve">Youth classification (final)</t>
  </si>
  <si>
    <t xml:space="preserve">https://naszosie.pl/2026/07/10/mlodziezowe-mistrzostwa-europy-na-torze-2026-polskie-wyniki-z-4-dnia-rywalizacji/</t>
  </si>
  <si>
    <t xml:space="preserve">1 km time trial</t>
  </si>
  <si>
    <t xml:space="preserve">With Kaczmarczyk, Tracka, Wankiewicz, Szczęsna</t>
  </si>
  <si>
    <t xml:space="preserve">With Szalińska</t>
  </si>
  <si>
    <t xml:space="preserve">With Matuła</t>
  </si>
  <si>
    <t xml:space="preserve">With Matuła, Kaczmarczyk, Dębicka</t>
  </si>
  <si>
    <t xml:space="preserve">https://naszosie.pl/2026/09/06/eliminacje-mistrzostw-polski-w-kryterium-2026-wyniki-z-wielunia/</t>
  </si>
  <si>
    <t xml:space="preserve">With Gaborska</t>
  </si>
  <si>
    <t xml:space="preserve">With Szczęsna, Tracka, Gaborska</t>
  </si>
  <si>
    <t xml:space="preserve">XCO</t>
  </si>
  <si>
    <t xml:space="preserve">XCC</t>
  </si>
  <si>
    <t xml:space="preserve">LAP</t>
  </si>
  <si>
    <t xml:space="preserve">Lapped</t>
  </si>
  <si>
    <t xml:space="preserve">With Hartman</t>
  </si>
  <si>
    <t xml:space="preserve">With Szczęsna, Tracka, Hartman</t>
  </si>
  <si>
    <t xml:space="preserve">Women (category not stated)</t>
  </si>
  <si>
    <t xml:space="preserve">With Dębicka</t>
  </si>
  <si>
    <t xml:space="preserve">https://naszosie.pl/2026/02/22/torowy-puchar-polski-2026-wyniki-z-2-dnia-rywalizacji-w-pruszkowie/</t>
  </si>
  <si>
    <t xml:space="preserve">With Tracka, Wankiewicz, Sipko, Szczęsna</t>
  </si>
  <si>
    <t xml:space="preserve">With Matuła, Sipko, Dębicka</t>
  </si>
  <si>
    <t xml:space="preserve">With Matuła, Sipko, Kaczmarczyk</t>
  </si>
  <si>
    <t xml:space="preserve">Road race (Zabór)</t>
  </si>
  <si>
    <t xml:space="preserve">Stage I</t>
  </si>
  <si>
    <t xml:space="preserve">Stage II</t>
  </si>
  <si>
    <t xml:space="preserve">Stage III (ITT)</t>
  </si>
  <si>
    <t xml:space="preserve">https://naszosie.pl/2026/01/04/iv-przelaj-im-zygmunta-hanusika-kolarze-i-kolarki-rywalizowali-w-tychach-wyniki/</t>
  </si>
  <si>
    <t xml:space="preserve">Club relay with Matuła and two male riders</t>
  </si>
  <si>
    <t xml:space="preserve">https://naszosie.pl/2026/02/21/torowy-puchar-polski-2026-wyniki-z-1-dnia-rywalizacji-w-pruszkowie/</t>
  </si>
  <si>
    <t xml:space="preserve">With Pośpiech</t>
  </si>
  <si>
    <t xml:space="preserve">https://naszosie.pl/2026/05/11/puchar-polski-2026-wyniki-rywalizacji-w-suchowoli/</t>
  </si>
  <si>
    <t xml:space="preserve">With Sekta</t>
  </si>
  <si>
    <t xml:space="preserve">With Glinka, Pośpiech, Sekta</t>
  </si>
  <si>
    <t xml:space="preserve">3 km individual pursuit</t>
  </si>
  <si>
    <t xml:space="preserve">With Słomka</t>
  </si>
  <si>
    <t xml:space="preserve">Poland junior squad</t>
  </si>
  <si>
    <t xml:space="preserve">https://naszosie.pl/2026/07/09/mlodziezowe-mistrzostwa-europy-na-torze-2026-czwarte-miejsce-sprinterek/</t>
  </si>
  <si>
    <t xml:space="preserve">With W. Rutkowska</t>
  </si>
  <si>
    <t xml:space="preserve">With Glinka</t>
  </si>
  <si>
    <t xml:space="preserve">With Glinka, Sekta, Słomka</t>
  </si>
  <si>
    <t xml:space="preserve">3 km individual race</t>
  </si>
  <si>
    <t xml:space="preserve">Road race (Jarosławiec)</t>
  </si>
  <si>
    <t xml:space="preserve">With Glinka, Pośpiech, Słomka</t>
  </si>
  <si>
    <t xml:space="preserve">Polish junior criterium champion (series)</t>
  </si>
  <si>
    <t xml:space="preserve">Polish U19 road champion</t>
  </si>
  <si>
    <t xml:space="preserve">https://naszosie.pl/2026/06/28/mistrzostwa-polski-2026-zofia-glinka-mistrzynia-polski-juniorek-po-dlugim-odjezdzie/</t>
  </si>
  <si>
    <t xml:space="preserve">With Pośpiech, Sekta, Słomka</t>
  </si>
  <si>
    <t xml:space="preserve">Best result per rider and event, 2026</t>
  </si>
  <si>
    <t xml:space="preserve">Best finishing position in any stage, classification or category of the event. DNF = only DNF rows entered. • = entered without a position.</t>
  </si>
  <si>
    <t xml:space="preserve">Legend</t>
  </si>
  <si>
    <t xml:space="preserve">Win</t>
  </si>
  <si>
    <t xml:space="preserve">2nd–3rd</t>
  </si>
  <si>
    <t xml:space="preserve">4th–10th</t>
  </si>
  <si>
    <t xml:space="preserve">Event ID on violet = race not on the published team calendar</t>
  </si>
</sst>
</file>

<file path=xl/styles.xml><?xml version="1.0" encoding="utf-8"?>
<styleSheet xmlns="http://schemas.openxmlformats.org/spreadsheetml/2006/main">
  <numFmts count="4">
    <numFmt numFmtId="164" formatCode="General"/>
    <numFmt numFmtId="165" formatCode="yyyy\-mm\-dd"/>
    <numFmt numFmtId="166" formatCode="General"/>
    <numFmt numFmtId="167" formatCode="dd\.mm"/>
  </numFmts>
  <fonts count="14">
    <font>
      <sz val="11"/>
      <color theme="1"/>
      <name val="Calibri"/>
      <family val="2"/>
      <charset val="1"/>
    </font>
    <font>
      <sz val="10"/>
      <name val="Arial"/>
      <family val="0"/>
    </font>
    <font>
      <sz val="10"/>
      <name val="Arial"/>
      <family val="0"/>
    </font>
    <font>
      <sz val="10"/>
      <name val="Arial"/>
      <family val="0"/>
    </font>
    <font>
      <b val="true"/>
      <sz val="14"/>
      <color rgb="FF2B0020"/>
      <name val="Arial"/>
      <family val="0"/>
      <charset val="1"/>
    </font>
    <font>
      <i val="true"/>
      <sz val="10"/>
      <color rgb="FF4F4F4F"/>
      <name val="Arial"/>
      <family val="0"/>
      <charset val="1"/>
    </font>
    <font>
      <sz val="10"/>
      <name val="Arial"/>
      <family val="0"/>
      <charset val="1"/>
    </font>
    <font>
      <b val="true"/>
      <sz val="10"/>
      <color rgb="FF8C00FF"/>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9"/>
      <color rgb="FF2B0020"/>
      <name val="Arial"/>
      <family val="0"/>
      <charset val="1"/>
    </font>
    <font>
      <sz val="9"/>
      <name val="Arial"/>
      <family val="0"/>
      <charset val="1"/>
    </font>
    <font>
      <sz val="10"/>
      <color rgb="FF2B0020"/>
      <name val="Arial"/>
      <family val="0"/>
      <charset val="1"/>
    </font>
  </fonts>
  <fills count="7">
    <fill>
      <patternFill patternType="none"/>
    </fill>
    <fill>
      <patternFill patternType="gray125"/>
    </fill>
    <fill>
      <patternFill patternType="solid">
        <fgColor rgb="FF2B0020"/>
        <bgColor rgb="FF000000"/>
      </patternFill>
    </fill>
    <fill>
      <patternFill patternType="solid">
        <fgColor rgb="FF8C00FF"/>
        <bgColor rgb="FF800080"/>
      </patternFill>
    </fill>
    <fill>
      <patternFill patternType="solid">
        <fgColor rgb="FFFF66ED"/>
        <bgColor rgb="FFFF8080"/>
      </patternFill>
    </fill>
    <fill>
      <patternFill patternType="solid">
        <fgColor rgb="FFD9AAFF"/>
        <bgColor rgb="FFC0C0C0"/>
      </patternFill>
    </fill>
    <fill>
      <patternFill patternType="solid">
        <fgColor rgb="FFF1EEF3"/>
        <bgColor rgb="FFE4E0E6"/>
      </patternFill>
    </fill>
  </fills>
  <borders count="3">
    <border diagonalUp="false" diagonalDown="false">
      <left/>
      <right/>
      <top/>
      <bottom/>
      <diagonal/>
    </border>
    <border diagonalUp="false" diagonalDown="false">
      <left/>
      <right/>
      <top/>
      <bottom style="thin">
        <color rgb="FFE4E0E6"/>
      </bottom>
      <diagonal/>
    </border>
    <border diagonalUp="false" diagonalDown="false">
      <left style="thin">
        <color rgb="FFE4E0E6"/>
      </left>
      <right/>
      <top/>
      <bottom style="thin">
        <color rgb="FFE4E0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right" vertical="bottom" textRotation="90" wrapText="true" indent="0" shrinkToFit="false"/>
      <protection locked="true" hidden="false"/>
    </xf>
    <xf numFmtId="167" fontId="12" fillId="0" borderId="0" xfId="0" applyFont="true" applyBorder="false" applyAlignment="true" applyProtection="false">
      <alignment horizontal="center" vertical="bottom" textRotation="0" wrapText="false" indent="0" shrinkToFit="false"/>
      <protection locked="true" hidden="false"/>
    </xf>
    <xf numFmtId="164" fontId="12" fillId="0" borderId="2" xfId="0" applyFont="true" applyBorder="true" applyAlignment="true" applyProtection="false">
      <alignment horizontal="center"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2B0020"/>
          <bgColor rgb="FF000000"/>
        </patternFill>
      </fill>
    </dxf>
    <dxf>
      <fill>
        <patternFill patternType="solid">
          <bgColor rgb="FF000000"/>
        </patternFill>
      </fill>
    </dxf>
    <dxf>
      <fill>
        <patternFill patternType="solid">
          <fgColor rgb="FFFFFFFF"/>
          <bgColor rgb="FF000000"/>
        </patternFill>
      </fill>
    </dxf>
    <dxf>
      <fill>
        <patternFill patternType="solid">
          <fgColor rgb="FFF1EEF3"/>
          <bgColor rgb="FF000000"/>
        </patternFill>
      </fill>
    </dxf>
    <dxf>
      <fill>
        <patternFill patternType="solid">
          <fgColor rgb="FF595959"/>
          <bgColor rgb="FF000000"/>
        </patternFill>
      </fill>
    </dxf>
    <dxf>
      <fill>
        <patternFill>
          <bgColor rgb="FFF1EEF3"/>
        </patternFill>
      </fill>
    </dxf>
    <dxf>
      <font>
        <name val="Arial"/>
        <charset val="1"/>
        <family val="0"/>
        <i val="1"/>
        <color rgb="FF595959"/>
      </font>
    </dxf>
    <dxf>
      <fill>
        <patternFill patternType="solid">
          <fgColor rgb="FFD9AAFF"/>
          <bgColor rgb="FF000000"/>
        </patternFill>
      </fill>
    </dxf>
    <dxf>
      <fill>
        <patternFill patternType="solid">
          <fgColor rgb="FFFF66ED"/>
          <bgColor rgb="FF000000"/>
        </patternFill>
      </fill>
    </dxf>
    <dxf>
      <fill>
        <patternFill>
          <bgColor rgb="FFFF66ED"/>
        </patternFill>
      </fill>
    </dxf>
    <dxf>
      <fill>
        <patternFill>
          <bgColor rgb="FFD9AAFF"/>
        </patternFill>
      </fill>
    </dxf>
    <dxf>
      <font>
        <name val="Arial"/>
        <charset val="1"/>
        <family val="0"/>
        <b val="1"/>
        <color rgb="FF2B0020"/>
      </font>
      <fill>
        <patternFill>
          <bgColor rgb="FFFF66ED"/>
        </patternFill>
      </fill>
    </dxf>
  </dxfs>
  <colors>
    <indexedColors>
      <rgbColor rgb="FF000000"/>
      <rgbColor rgb="FFFFFFFF"/>
      <rgbColor rgb="FFFF0000"/>
      <rgbColor rgb="FF00FF00"/>
      <rgbColor rgb="FF0000FF"/>
      <rgbColor rgb="FFFFFF00"/>
      <rgbColor rgb="FFFF00FF"/>
      <rgbColor rgb="FF00FFFF"/>
      <rgbColor rgb="FF800000"/>
      <rgbColor rgb="FF008000"/>
      <rgbColor rgb="FF2B0020"/>
      <rgbColor rgb="FF808000"/>
      <rgbColor rgb="FF8C00FF"/>
      <rgbColor rgb="FF008080"/>
      <rgbColor rgb="FFC0C0C0"/>
      <rgbColor rgb="FF808080"/>
      <rgbColor rgb="FF9999FF"/>
      <rgbColor rgb="FF993366"/>
      <rgbColor rgb="FFF1EEF3"/>
      <rgbColor rgb="FFCCFFFF"/>
      <rgbColor rgb="FF660066"/>
      <rgbColor rgb="FFFF8080"/>
      <rgbColor rgb="FF0066CC"/>
      <rgbColor rgb="FFE4E0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66ED"/>
      <rgbColor rgb="FFD9AA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23.85" hidden="false" customHeight="false" outlineLevel="0" collapsed="false">
      <c r="A7" s="3" t="s">
        <v>5</v>
      </c>
    </row>
    <row r="8" customFormat="false" ht="23.8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4" t="s">
        <v>8</v>
      </c>
    </row>
    <row r="12" customFormat="false" ht="23.85" hidden="false" customHeight="false" outlineLevel="0" collapsed="false">
      <c r="A12" s="3" t="s">
        <v>9</v>
      </c>
    </row>
    <row r="13" customFormat="false" ht="15" hidden="false" customHeight="false" outlineLevel="0" collapsed="false">
      <c r="A13" s="3" t="s">
        <v>10</v>
      </c>
    </row>
    <row r="14" customFormat="false" ht="23.85" hidden="false" customHeight="false" outlineLevel="0" collapsed="false">
      <c r="A14" s="3" t="s">
        <v>11</v>
      </c>
    </row>
    <row r="15" customFormat="false" ht="15" hidden="false" customHeight="false" outlineLevel="0" collapsed="false">
      <c r="A15" s="3" t="s">
        <v>12</v>
      </c>
    </row>
    <row r="16" customFormat="false" ht="15" hidden="false" customHeight="false" outlineLevel="0" collapsed="false">
      <c r="A16" s="3"/>
    </row>
    <row r="17" customFormat="false" ht="15" hidden="false" customHeight="false" outlineLevel="0" collapsed="false">
      <c r="A17" s="4" t="s">
        <v>13</v>
      </c>
    </row>
    <row r="18" customFormat="false" ht="23.85" hidden="false" customHeight="false" outlineLevel="0" collapsed="false">
      <c r="A18" s="3" t="s">
        <v>14</v>
      </c>
    </row>
    <row r="19" customFormat="false" ht="35.05" hidden="false" customHeight="false" outlineLevel="0" collapsed="false">
      <c r="A19" s="3" t="s">
        <v>15</v>
      </c>
    </row>
    <row r="20" customFormat="false" ht="23.85" hidden="false" customHeight="false" outlineLevel="0" collapsed="false">
      <c r="A20" s="3" t="s">
        <v>16</v>
      </c>
    </row>
    <row r="21" customFormat="false" ht="15" hidden="false" customHeight="false" outlineLevel="0" collapsed="false">
      <c r="A21" s="3" t="s">
        <v>17</v>
      </c>
    </row>
    <row r="22" customFormat="false" ht="23.85" hidden="false" customHeight="false" outlineLevel="0" collapsed="false">
      <c r="A22" s="3" t="s">
        <v>18</v>
      </c>
    </row>
    <row r="23" customFormat="false" ht="15" hidden="false" customHeight="false" outlineLevel="0" collapsed="false">
      <c r="A23" s="3" t="s">
        <v>19</v>
      </c>
    </row>
    <row r="24" customFormat="false" ht="15" hidden="false" customHeight="false" outlineLevel="0" collapsed="false">
      <c r="A24" s="3" t="s">
        <v>20</v>
      </c>
    </row>
    <row r="25" customFormat="false" ht="23.85" hidden="false" customHeight="false" outlineLevel="0" collapsed="false">
      <c r="A25"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3" min="3" style="0" width="50"/>
  </cols>
  <sheetData>
    <row r="1" customFormat="false" ht="17.35" hidden="false" customHeight="false" outlineLevel="0" collapsed="false">
      <c r="A1" s="5" t="s">
        <v>22</v>
      </c>
    </row>
    <row r="2" customFormat="false" ht="15" hidden="false" customHeight="false" outlineLevel="0" collapsed="false">
      <c r="A2" s="6" t="s">
        <v>23</v>
      </c>
    </row>
    <row r="4" customFormat="false" ht="15" hidden="false" customHeight="false" outlineLevel="0" collapsed="false">
      <c r="A4" s="7" t="s">
        <v>24</v>
      </c>
      <c r="B4" s="8" t="n">
        <v>46295</v>
      </c>
      <c r="C4" s="6" t="s">
        <v>25</v>
      </c>
    </row>
    <row r="6" customFormat="false" ht="30" hidden="false" customHeight="true" outlineLevel="0" collapsed="false">
      <c r="A6" s="9" t="s">
        <v>26</v>
      </c>
      <c r="B6" s="9" t="s">
        <v>27</v>
      </c>
    </row>
    <row r="7" customFormat="false" ht="15" hidden="false" customHeight="false" outlineLevel="0" collapsed="false">
      <c r="A7" s="10" t="s">
        <v>28</v>
      </c>
      <c r="B7" s="11" t="n">
        <f aca="false">COUNTIF(Results!$F$2:$F$482,"?*")</f>
        <v>481</v>
      </c>
    </row>
    <row r="8" customFormat="false" ht="15" hidden="false" customHeight="false" outlineLevel="0" collapsed="false">
      <c r="A8" s="10" t="s">
        <v>29</v>
      </c>
      <c r="B8" s="11" t="n">
        <f aca="false">COUNTIF(Riders!$G$5:$G$24,"&gt;0")</f>
        <v>20</v>
      </c>
    </row>
    <row r="9" customFormat="false" ht="15" hidden="false" customHeight="false" outlineLevel="0" collapsed="false">
      <c r="A9" s="10" t="s">
        <v>30</v>
      </c>
      <c r="B9" s="11" t="n">
        <f aca="false">COUNTIF(Results!$G$2:$G$482,1)</f>
        <v>83</v>
      </c>
    </row>
    <row r="10" customFormat="false" ht="15" hidden="false" customHeight="false" outlineLevel="0" collapsed="false">
      <c r="A10" s="10" t="s">
        <v>31</v>
      </c>
      <c r="B10" s="11" t="n">
        <f aca="false">COUNTIFS(Results!$G$2:$G$482,"&gt;=1",Results!$G$2:$G$482,"&lt;=3")</f>
        <v>180</v>
      </c>
    </row>
    <row r="11" customFormat="false" ht="15" hidden="false" customHeight="false" outlineLevel="0" collapsed="false">
      <c r="A11" s="10" t="s">
        <v>32</v>
      </c>
      <c r="B11" s="11" t="n">
        <f aca="false">COUNTIFS(Results!$G$2:$G$482,"&gt;=1",Results!$G$2:$G$482,"&lt;=10")</f>
        <v>251</v>
      </c>
    </row>
    <row r="12" customFormat="false" ht="15" hidden="false" customHeight="false" outlineLevel="0" collapsed="false">
      <c r="A12" s="10" t="s">
        <v>33</v>
      </c>
      <c r="B12" s="11" t="n">
        <f aca="false">COUNTIF(Results!$H$2:$H$482,"DNF")</f>
        <v>29</v>
      </c>
    </row>
    <row r="13" customFormat="false" ht="15" hidden="false" customHeight="false" outlineLevel="0" collapsed="false">
      <c r="A13" s="10" t="s">
        <v>34</v>
      </c>
      <c r="B13" s="11" t="n">
        <f aca="false">SUM(Results!$O$2:$O$482)</f>
        <v>30</v>
      </c>
    </row>
    <row r="14" customFormat="false" ht="15" hidden="false" customHeight="false" outlineLevel="0" collapsed="false">
      <c r="A14" s="10" t="s">
        <v>35</v>
      </c>
      <c r="B14" s="11" t="n">
        <f aca="false">SUM(Results!$P$2:$P$482)</f>
        <v>58</v>
      </c>
    </row>
    <row r="15" customFormat="false" ht="15" hidden="false" customHeight="false" outlineLevel="0" collapsed="false">
      <c r="A15" s="10" t="s">
        <v>36</v>
      </c>
      <c r="B15" s="11" t="n">
        <f aca="false">COUNTIFS(Results!$G$2:$G$482,1,Results!$K$2:$K$482,"Yes")</f>
        <v>47</v>
      </c>
    </row>
    <row r="16" customFormat="false" ht="15" hidden="false" customHeight="false" outlineLevel="0" collapsed="false">
      <c r="A16" s="10" t="s">
        <v>37</v>
      </c>
      <c r="B16" s="11" t="n">
        <f aca="false">COUNTIFS(Events!$I$2:$I$67,"Yes",Events!$L$2:$L$67,"&gt;0")</f>
        <v>37</v>
      </c>
    </row>
    <row r="17" customFormat="false" ht="15" hidden="false" customHeight="false" outlineLevel="0" collapsed="false">
      <c r="A17" s="10" t="s">
        <v>38</v>
      </c>
      <c r="B17" s="11" t="n">
        <f aca="false">COUNTIF(Events!$P$2:$P$67,"Upcoming")</f>
        <v>2</v>
      </c>
    </row>
    <row r="18" customFormat="false" ht="15" hidden="false" customHeight="false" outlineLevel="0" collapsed="false">
      <c r="A18" s="10" t="s">
        <v>39</v>
      </c>
      <c r="B18" s="11" t="n">
        <f aca="false">COUNTIF(Events!$P$2:$P$67,"No team result found")</f>
        <v>8</v>
      </c>
    </row>
    <row r="19" customFormat="false" ht="15" hidden="false" customHeight="false" outlineLevel="0" collapsed="false">
      <c r="A19" s="10" t="s">
        <v>40</v>
      </c>
      <c r="B19" s="11" t="n">
        <f aca="false">COUNTIFS(Events!$I$2:$I$67,"No",Events!$L$2:$L$67,"&gt;0")</f>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
    <col collapsed="false" customWidth="true" hidden="false" outlineLevel="0" max="3" min="3" style="0" width="12"/>
    <col collapsed="false" customWidth="true" hidden="false" outlineLevel="0" max="4" min="4" style="0" width="10"/>
    <col collapsed="false" customWidth="true" hidden="false" outlineLevel="0" max="5" min="5" style="0" width="20"/>
    <col collapsed="false" customWidth="true" hidden="false" outlineLevel="0" max="6" min="6" style="0" width="40"/>
    <col collapsed="false" customWidth="true" hidden="false" outlineLevel="0" max="7" min="7" style="0" width="9"/>
    <col collapsed="false" customWidth="true" hidden="false" outlineLevel="0" max="8" min="8" style="0" width="10"/>
    <col collapsed="false" customWidth="true" hidden="false" outlineLevel="0" max="9" min="9" style="0" width="7"/>
    <col collapsed="false" customWidth="true" hidden="false" outlineLevel="0" max="10" min="10" style="0" width="9"/>
    <col collapsed="false" customWidth="true" hidden="false" outlineLevel="0" max="11" min="11" style="0" width="8"/>
    <col collapsed="false" customWidth="true" hidden="false" outlineLevel="0" max="12" min="12" style="0" width="6"/>
    <col collapsed="false" customWidth="true" hidden="false" outlineLevel="0" max="13" min="13" style="0" width="12"/>
    <col collapsed="false" customWidth="true" hidden="false" outlineLevel="0" max="14" min="14" style="0" width="44"/>
  </cols>
  <sheetData>
    <row r="1" customFormat="false" ht="17.35" hidden="false" customHeight="false" outlineLevel="0" collapsed="false">
      <c r="A1" s="5" t="s">
        <v>41</v>
      </c>
    </row>
    <row r="2" customFormat="false" ht="15" hidden="false" customHeight="false" outlineLevel="0" collapsed="false">
      <c r="A2" s="6" t="s">
        <v>42</v>
      </c>
    </row>
    <row r="4" customFormat="false" ht="30" hidden="false" customHeight="true" outlineLevel="0" collapsed="false">
      <c r="A4" s="9" t="s">
        <v>43</v>
      </c>
      <c r="B4" s="9" t="s">
        <v>44</v>
      </c>
      <c r="C4" s="9" t="s">
        <v>45</v>
      </c>
      <c r="D4" s="9" t="s">
        <v>46</v>
      </c>
      <c r="E4" s="9" t="s">
        <v>47</v>
      </c>
      <c r="F4" s="9" t="s">
        <v>48</v>
      </c>
      <c r="G4" s="9" t="s">
        <v>49</v>
      </c>
      <c r="H4" s="9" t="s">
        <v>50</v>
      </c>
      <c r="I4" s="9" t="s">
        <v>51</v>
      </c>
      <c r="J4" s="9" t="s">
        <v>52</v>
      </c>
      <c r="K4" s="9" t="s">
        <v>53</v>
      </c>
      <c r="L4" s="9" t="s">
        <v>33</v>
      </c>
      <c r="M4" s="9" t="s">
        <v>54</v>
      </c>
      <c r="N4" s="9" t="s">
        <v>55</v>
      </c>
    </row>
    <row r="5" customFormat="false" ht="15" hidden="false" customHeight="false" outlineLevel="0" collapsed="false">
      <c r="A5" s="12" t="s">
        <v>56</v>
      </c>
      <c r="B5" s="12" t="s">
        <v>57</v>
      </c>
      <c r="C5" s="12" t="s">
        <v>58</v>
      </c>
      <c r="D5" s="12" t="s">
        <v>59</v>
      </c>
      <c r="E5" s="12" t="s">
        <v>60</v>
      </c>
      <c r="F5" s="12" t="s">
        <v>61</v>
      </c>
      <c r="G5" s="12" t="n">
        <f aca="false">COUNTIF(Results!$F$2:$F$482,A5)</f>
        <v>30</v>
      </c>
      <c r="H5" s="12" t="n">
        <f aca="false">SUMIFS(Results!$M$2:$M$482,Results!$F$2:$F$482,A5)</f>
        <v>17</v>
      </c>
      <c r="I5" s="12" t="n">
        <f aca="false">COUNTIFS(Results!$F$2:$F$482,A5,Results!$G$2:$G$482,1)</f>
        <v>1</v>
      </c>
      <c r="J5" s="12" t="n">
        <f aca="false">COUNTIFS(Results!$F$2:$F$482,A5,Results!$G$2:$G$482,"&gt;=1",Results!$G$2:$G$482,"&lt;=3")</f>
        <v>5</v>
      </c>
      <c r="K5" s="12" t="n">
        <f aca="false">COUNTIFS(Results!$F$2:$F$482,A5,Results!$G$2:$G$482,"&gt;=1",Results!$G$2:$G$482,"&lt;=10")</f>
        <v>17</v>
      </c>
      <c r="L5" s="12" t="n">
        <f aca="false">COUNTIFS(Results!$F$2:$F$482,A5,Results!$H$2:$H$482,"DNF")</f>
        <v>0</v>
      </c>
      <c r="M5" s="12" t="n">
        <f aca="false">COUNTIFS(Results!$F$2:$F$482,A5,Results!$G$2:$G$482,1,Results!$K$2:$K$482,"Yes")</f>
        <v>1</v>
      </c>
      <c r="N5" s="12"/>
    </row>
    <row r="6" customFormat="false" ht="15" hidden="false" customHeight="false" outlineLevel="0" collapsed="false">
      <c r="A6" s="12" t="s">
        <v>62</v>
      </c>
      <c r="B6" s="12" t="s">
        <v>57</v>
      </c>
      <c r="C6" s="12" t="s">
        <v>58</v>
      </c>
      <c r="D6" s="12" t="s">
        <v>59</v>
      </c>
      <c r="E6" s="12" t="s">
        <v>63</v>
      </c>
      <c r="F6" s="12" t="s">
        <v>64</v>
      </c>
      <c r="G6" s="12" t="n">
        <f aca="false">COUNTIF(Results!$F$2:$F$482,A6)</f>
        <v>20</v>
      </c>
      <c r="H6" s="12" t="n">
        <f aca="false">SUMIFS(Results!$M$2:$M$482,Results!$F$2:$F$482,A6)</f>
        <v>12</v>
      </c>
      <c r="I6" s="12" t="n">
        <f aca="false">COUNTIFS(Results!$F$2:$F$482,A6,Results!$G$2:$G$482,1)</f>
        <v>1</v>
      </c>
      <c r="J6" s="12" t="n">
        <f aca="false">COUNTIFS(Results!$F$2:$F$482,A6,Results!$G$2:$G$482,"&gt;=1",Results!$G$2:$G$482,"&lt;=3")</f>
        <v>4</v>
      </c>
      <c r="K6" s="12" t="n">
        <f aca="false">COUNTIFS(Results!$F$2:$F$482,A6,Results!$G$2:$G$482,"&gt;=1",Results!$G$2:$G$482,"&lt;=10")</f>
        <v>9</v>
      </c>
      <c r="L6" s="12" t="n">
        <f aca="false">COUNTIFS(Results!$F$2:$F$482,A6,Results!$H$2:$H$482,"DNF")</f>
        <v>0</v>
      </c>
      <c r="M6" s="12" t="n">
        <f aca="false">COUNTIFS(Results!$F$2:$F$482,A6,Results!$G$2:$G$482,1,Results!$K$2:$K$482,"Yes")</f>
        <v>1</v>
      </c>
      <c r="N6" s="12"/>
    </row>
    <row r="7" customFormat="false" ht="15" hidden="false" customHeight="false" outlineLevel="0" collapsed="false">
      <c r="A7" s="12" t="s">
        <v>65</v>
      </c>
      <c r="B7" s="12" t="s">
        <v>57</v>
      </c>
      <c r="C7" s="12" t="s">
        <v>58</v>
      </c>
      <c r="D7" s="12" t="s">
        <v>66</v>
      </c>
      <c r="E7" s="12" t="s">
        <v>67</v>
      </c>
      <c r="F7" s="12" t="s">
        <v>68</v>
      </c>
      <c r="G7" s="12" t="n">
        <f aca="false">COUNTIF(Results!$F$2:$F$482,A7)</f>
        <v>38</v>
      </c>
      <c r="H7" s="12" t="n">
        <f aca="false">SUMIFS(Results!$M$2:$M$482,Results!$F$2:$F$482,A7)</f>
        <v>18</v>
      </c>
      <c r="I7" s="12" t="n">
        <f aca="false">COUNTIFS(Results!$F$2:$F$482,A7,Results!$G$2:$G$482,1)</f>
        <v>10</v>
      </c>
      <c r="J7" s="12" t="n">
        <f aca="false">COUNTIFS(Results!$F$2:$F$482,A7,Results!$G$2:$G$482,"&gt;=1",Results!$G$2:$G$482,"&lt;=3")</f>
        <v>15</v>
      </c>
      <c r="K7" s="12" t="n">
        <f aca="false">COUNTIFS(Results!$F$2:$F$482,A7,Results!$G$2:$G$482,"&gt;=1",Results!$G$2:$G$482,"&lt;=10")</f>
        <v>20</v>
      </c>
      <c r="L7" s="12" t="n">
        <f aca="false">COUNTIFS(Results!$F$2:$F$482,A7,Results!$H$2:$H$482,"DNF")</f>
        <v>5</v>
      </c>
      <c r="M7" s="12" t="n">
        <f aca="false">COUNTIFS(Results!$F$2:$F$482,A7,Results!$G$2:$G$482,1,Results!$K$2:$K$482,"Yes")</f>
        <v>7</v>
      </c>
      <c r="N7" s="12"/>
    </row>
    <row r="8" customFormat="false" ht="15" hidden="false" customHeight="false" outlineLevel="0" collapsed="false">
      <c r="A8" s="12" t="s">
        <v>69</v>
      </c>
      <c r="B8" s="12" t="s">
        <v>57</v>
      </c>
      <c r="C8" s="12" t="s">
        <v>58</v>
      </c>
      <c r="D8" s="12" t="s">
        <v>66</v>
      </c>
      <c r="E8" s="12" t="s">
        <v>70</v>
      </c>
      <c r="F8" s="12" t="s">
        <v>71</v>
      </c>
      <c r="G8" s="12" t="n">
        <f aca="false">COUNTIF(Results!$F$2:$F$482,A8)</f>
        <v>53</v>
      </c>
      <c r="H8" s="12" t="n">
        <f aca="false">SUMIFS(Results!$M$2:$M$482,Results!$F$2:$F$482,A8)</f>
        <v>21</v>
      </c>
      <c r="I8" s="12" t="n">
        <f aca="false">COUNTIFS(Results!$F$2:$F$482,A8,Results!$G$2:$G$482,1)</f>
        <v>18</v>
      </c>
      <c r="J8" s="12" t="n">
        <f aca="false">COUNTIFS(Results!$F$2:$F$482,A8,Results!$G$2:$G$482,"&gt;=1",Results!$G$2:$G$482,"&lt;=3")</f>
        <v>21</v>
      </c>
      <c r="K8" s="12" t="n">
        <f aca="false">COUNTIFS(Results!$F$2:$F$482,A8,Results!$G$2:$G$482,"&gt;=1",Results!$G$2:$G$482,"&lt;=10")</f>
        <v>32</v>
      </c>
      <c r="L8" s="12" t="n">
        <f aca="false">COUNTIFS(Results!$F$2:$F$482,A8,Results!$H$2:$H$482,"DNF")</f>
        <v>2</v>
      </c>
      <c r="M8" s="12" t="n">
        <f aca="false">COUNTIFS(Results!$F$2:$F$482,A8,Results!$G$2:$G$482,1,Results!$K$2:$K$482,"Yes")</f>
        <v>13</v>
      </c>
      <c r="N8" s="12"/>
    </row>
    <row r="9" customFormat="false" ht="15" hidden="false" customHeight="false" outlineLevel="0" collapsed="false">
      <c r="A9" s="12" t="s">
        <v>72</v>
      </c>
      <c r="B9" s="12" t="s">
        <v>57</v>
      </c>
      <c r="C9" s="12" t="s">
        <v>58</v>
      </c>
      <c r="D9" s="12" t="s">
        <v>66</v>
      </c>
      <c r="E9" s="12" t="s">
        <v>73</v>
      </c>
      <c r="F9" s="12" t="s">
        <v>74</v>
      </c>
      <c r="G9" s="12" t="n">
        <f aca="false">COUNTIF(Results!$F$2:$F$482,A9)</f>
        <v>22</v>
      </c>
      <c r="H9" s="12" t="n">
        <f aca="false">SUMIFS(Results!$M$2:$M$482,Results!$F$2:$F$482,A9)</f>
        <v>12</v>
      </c>
      <c r="I9" s="12" t="n">
        <f aca="false">COUNTIFS(Results!$F$2:$F$482,A9,Results!$G$2:$G$482,1)</f>
        <v>2</v>
      </c>
      <c r="J9" s="12" t="n">
        <f aca="false">COUNTIFS(Results!$F$2:$F$482,A9,Results!$G$2:$G$482,"&gt;=1",Results!$G$2:$G$482,"&lt;=3")</f>
        <v>9</v>
      </c>
      <c r="K9" s="12" t="n">
        <f aca="false">COUNTIFS(Results!$F$2:$F$482,A9,Results!$G$2:$G$482,"&gt;=1",Results!$G$2:$G$482,"&lt;=10")</f>
        <v>13</v>
      </c>
      <c r="L9" s="12" t="n">
        <f aca="false">COUNTIFS(Results!$F$2:$F$482,A9,Results!$H$2:$H$482,"DNF")</f>
        <v>1</v>
      </c>
      <c r="M9" s="12" t="n">
        <f aca="false">COUNTIFS(Results!$F$2:$F$482,A9,Results!$G$2:$G$482,1,Results!$K$2:$K$482,"Yes")</f>
        <v>1</v>
      </c>
      <c r="N9" s="12"/>
    </row>
    <row r="10" customFormat="false" ht="15" hidden="false" customHeight="false" outlineLevel="0" collapsed="false">
      <c r="A10" s="12" t="s">
        <v>75</v>
      </c>
      <c r="B10" s="12" t="s">
        <v>57</v>
      </c>
      <c r="C10" s="12" t="s">
        <v>58</v>
      </c>
      <c r="D10" s="12" t="s">
        <v>66</v>
      </c>
      <c r="E10" s="12" t="s">
        <v>76</v>
      </c>
      <c r="F10" s="12" t="s">
        <v>77</v>
      </c>
      <c r="G10" s="12" t="n">
        <f aca="false">COUNTIF(Results!$F$2:$F$482,A10)</f>
        <v>34</v>
      </c>
      <c r="H10" s="12" t="n">
        <f aca="false">SUMIFS(Results!$M$2:$M$482,Results!$F$2:$F$482,A10)</f>
        <v>19</v>
      </c>
      <c r="I10" s="12" t="n">
        <f aca="false">COUNTIFS(Results!$F$2:$F$482,A10,Results!$G$2:$G$482,1)</f>
        <v>6</v>
      </c>
      <c r="J10" s="12" t="n">
        <f aca="false">COUNTIFS(Results!$F$2:$F$482,A10,Results!$G$2:$G$482,"&gt;=1",Results!$G$2:$G$482,"&lt;=3")</f>
        <v>17</v>
      </c>
      <c r="K10" s="12" t="n">
        <f aca="false">COUNTIFS(Results!$F$2:$F$482,A10,Results!$G$2:$G$482,"&gt;=1",Results!$G$2:$G$482,"&lt;=10")</f>
        <v>18</v>
      </c>
      <c r="L10" s="12" t="n">
        <f aca="false">COUNTIFS(Results!$F$2:$F$482,A10,Results!$H$2:$H$482,"DNF")</f>
        <v>5</v>
      </c>
      <c r="M10" s="12" t="n">
        <f aca="false">COUNTIFS(Results!$F$2:$F$482,A10,Results!$G$2:$G$482,1,Results!$K$2:$K$482,"Yes")</f>
        <v>3</v>
      </c>
      <c r="N10" s="12"/>
    </row>
    <row r="11" customFormat="false" ht="15" hidden="false" customHeight="false" outlineLevel="0" collapsed="false">
      <c r="A11" s="12" t="s">
        <v>78</v>
      </c>
      <c r="B11" s="12" t="s">
        <v>57</v>
      </c>
      <c r="C11" s="12" t="s">
        <v>58</v>
      </c>
      <c r="D11" s="12" t="s">
        <v>66</v>
      </c>
      <c r="E11" s="12" t="s">
        <v>79</v>
      </c>
      <c r="F11" s="12" t="s">
        <v>80</v>
      </c>
      <c r="G11" s="12" t="n">
        <f aca="false">COUNTIF(Results!$F$2:$F$482,A11)</f>
        <v>35</v>
      </c>
      <c r="H11" s="12" t="n">
        <f aca="false">SUMIFS(Results!$M$2:$M$482,Results!$F$2:$F$482,A11)</f>
        <v>17</v>
      </c>
      <c r="I11" s="12" t="n">
        <f aca="false">COUNTIFS(Results!$F$2:$F$482,A11,Results!$G$2:$G$482,1)</f>
        <v>4</v>
      </c>
      <c r="J11" s="12" t="n">
        <f aca="false">COUNTIFS(Results!$F$2:$F$482,A11,Results!$G$2:$G$482,"&gt;=1",Results!$G$2:$G$482,"&lt;=3")</f>
        <v>11</v>
      </c>
      <c r="K11" s="12" t="n">
        <f aca="false">COUNTIFS(Results!$F$2:$F$482,A11,Results!$G$2:$G$482,"&gt;=1",Results!$G$2:$G$482,"&lt;=10")</f>
        <v>16</v>
      </c>
      <c r="L11" s="12" t="n">
        <f aca="false">COUNTIFS(Results!$F$2:$F$482,A11,Results!$H$2:$H$482,"DNF")</f>
        <v>3</v>
      </c>
      <c r="M11" s="12" t="n">
        <f aca="false">COUNTIFS(Results!$F$2:$F$482,A11,Results!$G$2:$G$482,1,Results!$K$2:$K$482,"Yes")</f>
        <v>2</v>
      </c>
      <c r="N11" s="12"/>
    </row>
    <row r="12" customFormat="false" ht="15" hidden="false" customHeight="false" outlineLevel="0" collapsed="false">
      <c r="A12" s="12" t="s">
        <v>81</v>
      </c>
      <c r="B12" s="12" t="s">
        <v>82</v>
      </c>
      <c r="C12" s="12" t="s">
        <v>58</v>
      </c>
      <c r="D12" s="12" t="s">
        <v>66</v>
      </c>
      <c r="E12" s="12" t="s">
        <v>83</v>
      </c>
      <c r="F12" s="12" t="s">
        <v>84</v>
      </c>
      <c r="G12" s="12" t="n">
        <f aca="false">COUNTIF(Results!$F$2:$F$482,A12)</f>
        <v>30</v>
      </c>
      <c r="H12" s="12" t="n">
        <f aca="false">SUMIFS(Results!$M$2:$M$482,Results!$F$2:$F$482,A12)</f>
        <v>14</v>
      </c>
      <c r="I12" s="12" t="n">
        <f aca="false">COUNTIFS(Results!$F$2:$F$482,A12,Results!$G$2:$G$482,1)</f>
        <v>3</v>
      </c>
      <c r="J12" s="12" t="n">
        <f aca="false">COUNTIFS(Results!$F$2:$F$482,A12,Results!$G$2:$G$482,"&gt;=1",Results!$G$2:$G$482,"&lt;=3")</f>
        <v>12</v>
      </c>
      <c r="K12" s="12" t="n">
        <f aca="false">COUNTIFS(Results!$F$2:$F$482,A12,Results!$G$2:$G$482,"&gt;=1",Results!$G$2:$G$482,"&lt;=10")</f>
        <v>19</v>
      </c>
      <c r="L12" s="12" t="n">
        <f aca="false">COUNTIFS(Results!$F$2:$F$482,A12,Results!$H$2:$H$482,"DNF")</f>
        <v>1</v>
      </c>
      <c r="M12" s="12" t="n">
        <f aca="false">COUNTIFS(Results!$F$2:$F$482,A12,Results!$G$2:$G$482,1,Results!$K$2:$K$482,"Yes")</f>
        <v>0</v>
      </c>
      <c r="N12" s="12"/>
    </row>
    <row r="13" customFormat="false" ht="15" hidden="false" customHeight="false" outlineLevel="0" collapsed="false">
      <c r="A13" s="12" t="s">
        <v>85</v>
      </c>
      <c r="B13" s="12" t="s">
        <v>57</v>
      </c>
      <c r="C13" s="12" t="s">
        <v>58</v>
      </c>
      <c r="D13" s="12" t="s">
        <v>66</v>
      </c>
      <c r="E13" s="12" t="s">
        <v>86</v>
      </c>
      <c r="F13" s="12" t="s">
        <v>87</v>
      </c>
      <c r="G13" s="12" t="n">
        <f aca="false">COUNTIF(Results!$F$2:$F$482,A13)</f>
        <v>32</v>
      </c>
      <c r="H13" s="12" t="n">
        <f aca="false">SUMIFS(Results!$M$2:$M$482,Results!$F$2:$F$482,A13)</f>
        <v>15</v>
      </c>
      <c r="I13" s="12" t="n">
        <f aca="false">COUNTIFS(Results!$F$2:$F$482,A13,Results!$G$2:$G$482,1)</f>
        <v>3</v>
      </c>
      <c r="J13" s="12" t="n">
        <f aca="false">COUNTIFS(Results!$F$2:$F$482,A13,Results!$G$2:$G$482,"&gt;=1",Results!$G$2:$G$482,"&lt;=3")</f>
        <v>9</v>
      </c>
      <c r="K13" s="12" t="n">
        <f aca="false">COUNTIFS(Results!$F$2:$F$482,A13,Results!$G$2:$G$482,"&gt;=1",Results!$G$2:$G$482,"&lt;=10")</f>
        <v>10</v>
      </c>
      <c r="L13" s="12" t="n">
        <f aca="false">COUNTIFS(Results!$F$2:$F$482,A13,Results!$H$2:$H$482,"DNF")</f>
        <v>0</v>
      </c>
      <c r="M13" s="12" t="n">
        <f aca="false">COUNTIFS(Results!$F$2:$F$482,A13,Results!$G$2:$G$482,1,Results!$K$2:$K$482,"Yes")</f>
        <v>2</v>
      </c>
      <c r="N13" s="12"/>
    </row>
    <row r="14" customFormat="false" ht="15" hidden="false" customHeight="false" outlineLevel="0" collapsed="false">
      <c r="A14" s="12" t="s">
        <v>88</v>
      </c>
      <c r="B14" s="12" t="s">
        <v>57</v>
      </c>
      <c r="C14" s="12" t="s">
        <v>58</v>
      </c>
      <c r="D14" s="12" t="s">
        <v>66</v>
      </c>
      <c r="E14" s="12" t="s">
        <v>89</v>
      </c>
      <c r="F14" s="12" t="s">
        <v>90</v>
      </c>
      <c r="G14" s="12" t="n">
        <f aca="false">COUNTIF(Results!$F$2:$F$482,A14)</f>
        <v>22</v>
      </c>
      <c r="H14" s="12" t="n">
        <f aca="false">SUMIFS(Results!$M$2:$M$482,Results!$F$2:$F$482,A14)</f>
        <v>13</v>
      </c>
      <c r="I14" s="12" t="n">
        <f aca="false">COUNTIFS(Results!$F$2:$F$482,A14,Results!$G$2:$G$482,1)</f>
        <v>2</v>
      </c>
      <c r="J14" s="12" t="n">
        <f aca="false">COUNTIFS(Results!$F$2:$F$482,A14,Results!$G$2:$G$482,"&gt;=1",Results!$G$2:$G$482,"&lt;=3")</f>
        <v>6</v>
      </c>
      <c r="K14" s="12" t="n">
        <f aca="false">COUNTIFS(Results!$F$2:$F$482,A14,Results!$G$2:$G$482,"&gt;=1",Results!$G$2:$G$482,"&lt;=10")</f>
        <v>10</v>
      </c>
      <c r="L14" s="12" t="n">
        <f aca="false">COUNTIFS(Results!$F$2:$F$482,A14,Results!$H$2:$H$482,"DNF")</f>
        <v>2</v>
      </c>
      <c r="M14" s="12" t="n">
        <f aca="false">COUNTIFS(Results!$F$2:$F$482,A14,Results!$G$2:$G$482,1,Results!$K$2:$K$482,"Yes")</f>
        <v>2</v>
      </c>
      <c r="N14" s="12"/>
    </row>
    <row r="15" customFormat="false" ht="15" hidden="false" customHeight="false" outlineLevel="0" collapsed="false">
      <c r="A15" s="12" t="s">
        <v>91</v>
      </c>
      <c r="B15" s="12" t="s">
        <v>57</v>
      </c>
      <c r="C15" s="12" t="s">
        <v>58</v>
      </c>
      <c r="D15" s="12" t="s">
        <v>66</v>
      </c>
      <c r="E15" s="12" t="s">
        <v>92</v>
      </c>
      <c r="F15" s="12" t="s">
        <v>93</v>
      </c>
      <c r="G15" s="12" t="n">
        <f aca="false">COUNTIF(Results!$F$2:$F$482,A15)</f>
        <v>18</v>
      </c>
      <c r="H15" s="12" t="n">
        <f aca="false">SUMIFS(Results!$M$2:$M$482,Results!$F$2:$F$482,A15)</f>
        <v>13</v>
      </c>
      <c r="I15" s="12" t="n">
        <f aca="false">COUNTIFS(Results!$F$2:$F$482,A15,Results!$G$2:$G$482,1)</f>
        <v>4</v>
      </c>
      <c r="J15" s="12" t="n">
        <f aca="false">COUNTIFS(Results!$F$2:$F$482,A15,Results!$G$2:$G$482,"&gt;=1",Results!$G$2:$G$482,"&lt;=3")</f>
        <v>9</v>
      </c>
      <c r="K15" s="12" t="n">
        <f aca="false">COUNTIFS(Results!$F$2:$F$482,A15,Results!$G$2:$G$482,"&gt;=1",Results!$G$2:$G$482,"&lt;=10")</f>
        <v>12</v>
      </c>
      <c r="L15" s="12" t="n">
        <f aca="false">COUNTIFS(Results!$F$2:$F$482,A15,Results!$H$2:$H$482,"DNF")</f>
        <v>3</v>
      </c>
      <c r="M15" s="12" t="n">
        <f aca="false">COUNTIFS(Results!$F$2:$F$482,A15,Results!$G$2:$G$482,1,Results!$K$2:$K$482,"Yes")</f>
        <v>3</v>
      </c>
      <c r="N15" s="12"/>
    </row>
    <row r="16" customFormat="false" ht="15" hidden="false" customHeight="false" outlineLevel="0" collapsed="false">
      <c r="A16" s="12" t="s">
        <v>94</v>
      </c>
      <c r="B16" s="12" t="s">
        <v>57</v>
      </c>
      <c r="C16" s="12" t="s">
        <v>58</v>
      </c>
      <c r="D16" s="12" t="s">
        <v>66</v>
      </c>
      <c r="E16" s="12" t="s">
        <v>95</v>
      </c>
      <c r="F16" s="12" t="s">
        <v>96</v>
      </c>
      <c r="G16" s="12" t="n">
        <f aca="false">COUNTIF(Results!$F$2:$F$482,A16)</f>
        <v>9</v>
      </c>
      <c r="H16" s="12" t="n">
        <f aca="false">SUMIFS(Results!$M$2:$M$482,Results!$F$2:$F$482,A16)</f>
        <v>7</v>
      </c>
      <c r="I16" s="12" t="n">
        <f aca="false">COUNTIFS(Results!$F$2:$F$482,A16,Results!$G$2:$G$482,1)</f>
        <v>1</v>
      </c>
      <c r="J16" s="12" t="n">
        <f aca="false">COUNTIFS(Results!$F$2:$F$482,A16,Results!$G$2:$G$482,"&gt;=1",Results!$G$2:$G$482,"&lt;=3")</f>
        <v>4</v>
      </c>
      <c r="K16" s="12" t="n">
        <f aca="false">COUNTIFS(Results!$F$2:$F$482,A16,Results!$G$2:$G$482,"&gt;=1",Results!$G$2:$G$482,"&lt;=10")</f>
        <v>4</v>
      </c>
      <c r="L16" s="12" t="n">
        <f aca="false">COUNTIFS(Results!$F$2:$F$482,A16,Results!$H$2:$H$482,"DNF")</f>
        <v>1</v>
      </c>
      <c r="M16" s="12" t="n">
        <f aca="false">COUNTIFS(Results!$F$2:$F$482,A16,Results!$G$2:$G$482,1,Results!$K$2:$K$482,"Yes")</f>
        <v>0</v>
      </c>
      <c r="N16" s="12"/>
    </row>
    <row r="17" customFormat="false" ht="15" hidden="false" customHeight="false" outlineLevel="0" collapsed="false">
      <c r="A17" s="12" t="s">
        <v>97</v>
      </c>
      <c r="B17" s="12" t="s">
        <v>98</v>
      </c>
      <c r="C17" s="12" t="s">
        <v>99</v>
      </c>
      <c r="D17" s="12" t="s">
        <v>100</v>
      </c>
      <c r="E17" s="12" t="s">
        <v>101</v>
      </c>
      <c r="F17" s="12" t="s">
        <v>102</v>
      </c>
      <c r="G17" s="12" t="n">
        <f aca="false">COUNTIF(Results!$F$2:$F$482,A17)</f>
        <v>26</v>
      </c>
      <c r="H17" s="12" t="n">
        <f aca="false">SUMIFS(Results!$M$2:$M$482,Results!$F$2:$F$482,A17)</f>
        <v>10</v>
      </c>
      <c r="I17" s="12" t="n">
        <f aca="false">COUNTIFS(Results!$F$2:$F$482,A17,Results!$G$2:$G$482,1)</f>
        <v>6</v>
      </c>
      <c r="J17" s="12" t="n">
        <f aca="false">COUNTIFS(Results!$F$2:$F$482,A17,Results!$G$2:$G$482,"&gt;=1",Results!$G$2:$G$482,"&lt;=3")</f>
        <v>8</v>
      </c>
      <c r="K17" s="12" t="n">
        <f aca="false">COUNTIFS(Results!$F$2:$F$482,A17,Results!$G$2:$G$482,"&gt;=1",Results!$G$2:$G$482,"&lt;=10")</f>
        <v>11</v>
      </c>
      <c r="L17" s="12" t="n">
        <f aca="false">COUNTIFS(Results!$F$2:$F$482,A17,Results!$H$2:$H$482,"DNF")</f>
        <v>0</v>
      </c>
      <c r="M17" s="12" t="n">
        <f aca="false">COUNTIFS(Results!$F$2:$F$482,A17,Results!$G$2:$G$482,1,Results!$K$2:$K$482,"Yes")</f>
        <v>0</v>
      </c>
      <c r="N17" s="12"/>
    </row>
    <row r="18" customFormat="false" ht="15" hidden="false" customHeight="false" outlineLevel="0" collapsed="false">
      <c r="A18" s="12" t="s">
        <v>103</v>
      </c>
      <c r="B18" s="12" t="s">
        <v>57</v>
      </c>
      <c r="C18" s="12" t="s">
        <v>99</v>
      </c>
      <c r="D18" s="12" t="s">
        <v>100</v>
      </c>
      <c r="E18" s="12" t="s">
        <v>104</v>
      </c>
      <c r="F18" s="12" t="s">
        <v>105</v>
      </c>
      <c r="G18" s="12" t="n">
        <f aca="false">COUNTIF(Results!$F$2:$F$482,A18)</f>
        <v>32</v>
      </c>
      <c r="H18" s="12" t="n">
        <f aca="false">SUMIFS(Results!$M$2:$M$482,Results!$F$2:$F$482,A18)</f>
        <v>18</v>
      </c>
      <c r="I18" s="12" t="n">
        <f aca="false">COUNTIFS(Results!$F$2:$F$482,A18,Results!$G$2:$G$482,1)</f>
        <v>6</v>
      </c>
      <c r="J18" s="12" t="n">
        <f aca="false">COUNTIFS(Results!$F$2:$F$482,A18,Results!$G$2:$G$482,"&gt;=1",Results!$G$2:$G$482,"&lt;=3")</f>
        <v>19</v>
      </c>
      <c r="K18" s="12" t="n">
        <f aca="false">COUNTIFS(Results!$F$2:$F$482,A18,Results!$G$2:$G$482,"&gt;=1",Results!$G$2:$G$482,"&lt;=10")</f>
        <v>20</v>
      </c>
      <c r="L18" s="12" t="n">
        <f aca="false">COUNTIFS(Results!$F$2:$F$482,A18,Results!$H$2:$H$482,"DNF")</f>
        <v>0</v>
      </c>
      <c r="M18" s="12" t="n">
        <f aca="false">COUNTIFS(Results!$F$2:$F$482,A18,Results!$G$2:$G$482,1,Results!$K$2:$K$482,"Yes")</f>
        <v>2</v>
      </c>
      <c r="N18" s="12"/>
    </row>
    <row r="19" customFormat="false" ht="15" hidden="false" customHeight="false" outlineLevel="0" collapsed="false">
      <c r="A19" s="12" t="s">
        <v>106</v>
      </c>
      <c r="B19" s="12" t="s">
        <v>57</v>
      </c>
      <c r="C19" s="12" t="s">
        <v>99</v>
      </c>
      <c r="D19" s="12" t="s">
        <v>100</v>
      </c>
      <c r="E19" s="12" t="s">
        <v>107</v>
      </c>
      <c r="F19" s="12" t="s">
        <v>108</v>
      </c>
      <c r="G19" s="12" t="n">
        <f aca="false">COUNTIF(Results!$F$2:$F$482,A19)</f>
        <v>32</v>
      </c>
      <c r="H19" s="12" t="n">
        <f aca="false">SUMIFS(Results!$M$2:$M$482,Results!$F$2:$F$482,A19)</f>
        <v>13</v>
      </c>
      <c r="I19" s="12" t="n">
        <f aca="false">COUNTIFS(Results!$F$2:$F$482,A19,Results!$G$2:$G$482,1)</f>
        <v>7</v>
      </c>
      <c r="J19" s="12" t="n">
        <f aca="false">COUNTIFS(Results!$F$2:$F$482,A19,Results!$G$2:$G$482,"&gt;=1",Results!$G$2:$G$482,"&lt;=3")</f>
        <v>14</v>
      </c>
      <c r="K19" s="12" t="n">
        <f aca="false">COUNTIFS(Results!$F$2:$F$482,A19,Results!$G$2:$G$482,"&gt;=1",Results!$G$2:$G$482,"&lt;=10")</f>
        <v>17</v>
      </c>
      <c r="L19" s="12" t="n">
        <f aca="false">COUNTIFS(Results!$F$2:$F$482,A19,Results!$H$2:$H$482,"DNF")</f>
        <v>1</v>
      </c>
      <c r="M19" s="12" t="n">
        <f aca="false">COUNTIFS(Results!$F$2:$F$482,A19,Results!$G$2:$G$482,1,Results!$K$2:$K$482,"Yes")</f>
        <v>5</v>
      </c>
      <c r="N19" s="12"/>
    </row>
    <row r="20" customFormat="false" ht="15" hidden="false" customHeight="false" outlineLevel="0" collapsed="false">
      <c r="A20" s="12" t="s">
        <v>109</v>
      </c>
      <c r="B20" s="12" t="s">
        <v>57</v>
      </c>
      <c r="C20" s="12" t="s">
        <v>99</v>
      </c>
      <c r="D20" s="12" t="s">
        <v>100</v>
      </c>
      <c r="E20" s="12" t="s">
        <v>110</v>
      </c>
      <c r="F20" s="12" t="s">
        <v>111</v>
      </c>
      <c r="G20" s="12" t="n">
        <f aca="false">COUNTIF(Results!$F$2:$F$482,A20)</f>
        <v>4</v>
      </c>
      <c r="H20" s="12" t="n">
        <f aca="false">SUMIFS(Results!$M$2:$M$482,Results!$F$2:$F$482,A20)</f>
        <v>3</v>
      </c>
      <c r="I20" s="12" t="n">
        <f aca="false">COUNTIFS(Results!$F$2:$F$482,A20,Results!$G$2:$G$482,1)</f>
        <v>0</v>
      </c>
      <c r="J20" s="12" t="n">
        <f aca="false">COUNTIFS(Results!$F$2:$F$482,A20,Results!$G$2:$G$482,"&gt;=1",Results!$G$2:$G$482,"&lt;=3")</f>
        <v>1</v>
      </c>
      <c r="K20" s="12" t="n">
        <f aca="false">COUNTIFS(Results!$F$2:$F$482,A20,Results!$G$2:$G$482,"&gt;=1",Results!$G$2:$G$482,"&lt;=10")</f>
        <v>3</v>
      </c>
      <c r="L20" s="12" t="n">
        <f aca="false">COUNTIFS(Results!$F$2:$F$482,A20,Results!$H$2:$H$482,"DNF")</f>
        <v>0</v>
      </c>
      <c r="M20" s="12" t="n">
        <f aca="false">COUNTIFS(Results!$F$2:$F$482,A20,Results!$G$2:$G$482,1,Results!$K$2:$K$482,"Yes")</f>
        <v>0</v>
      </c>
      <c r="N20" s="12"/>
    </row>
    <row r="21" customFormat="false" ht="15" hidden="false" customHeight="false" outlineLevel="0" collapsed="false">
      <c r="A21" s="12" t="s">
        <v>112</v>
      </c>
      <c r="B21" s="12" t="s">
        <v>57</v>
      </c>
      <c r="C21" s="12" t="s">
        <v>99</v>
      </c>
      <c r="D21" s="12" t="s">
        <v>100</v>
      </c>
      <c r="E21" s="12" t="s">
        <v>113</v>
      </c>
      <c r="F21" s="12" t="s">
        <v>114</v>
      </c>
      <c r="G21" s="12" t="n">
        <f aca="false">COUNTIF(Results!$F$2:$F$482,A21)</f>
        <v>6</v>
      </c>
      <c r="H21" s="12" t="n">
        <f aca="false">SUMIFS(Results!$M$2:$M$482,Results!$F$2:$F$482,A21)</f>
        <v>5</v>
      </c>
      <c r="I21" s="12" t="n">
        <f aca="false">COUNTIFS(Results!$F$2:$F$482,A21,Results!$G$2:$G$482,1)</f>
        <v>0</v>
      </c>
      <c r="J21" s="12" t="n">
        <f aca="false">COUNTIFS(Results!$F$2:$F$482,A21,Results!$G$2:$G$482,"&gt;=1",Results!$G$2:$G$482,"&lt;=3")</f>
        <v>2</v>
      </c>
      <c r="K21" s="12" t="n">
        <f aca="false">COUNTIFS(Results!$F$2:$F$482,A21,Results!$G$2:$G$482,"&gt;=1",Results!$G$2:$G$482,"&lt;=10")</f>
        <v>4</v>
      </c>
      <c r="L21" s="12" t="n">
        <f aca="false">COUNTIFS(Results!$F$2:$F$482,A21,Results!$H$2:$H$482,"DNF")</f>
        <v>0</v>
      </c>
      <c r="M21" s="12" t="n">
        <f aca="false">COUNTIFS(Results!$F$2:$F$482,A21,Results!$G$2:$G$482,1,Results!$K$2:$K$482,"Yes")</f>
        <v>0</v>
      </c>
      <c r="N21" s="12"/>
    </row>
    <row r="22" customFormat="false" ht="15" hidden="false" customHeight="false" outlineLevel="0" collapsed="false">
      <c r="A22" s="12" t="s">
        <v>115</v>
      </c>
      <c r="B22" s="12" t="s">
        <v>57</v>
      </c>
      <c r="C22" s="12" t="s">
        <v>99</v>
      </c>
      <c r="D22" s="12" t="s">
        <v>100</v>
      </c>
      <c r="E22" s="12" t="s">
        <v>116</v>
      </c>
      <c r="F22" s="12" t="s">
        <v>117</v>
      </c>
      <c r="G22" s="12" t="n">
        <f aca="false">COUNTIF(Results!$F$2:$F$482,A22)</f>
        <v>21</v>
      </c>
      <c r="H22" s="12" t="n">
        <f aca="false">SUMIFS(Results!$M$2:$M$482,Results!$F$2:$F$482,A22)</f>
        <v>14</v>
      </c>
      <c r="I22" s="12" t="n">
        <f aca="false">COUNTIFS(Results!$F$2:$F$482,A22,Results!$G$2:$G$482,1)</f>
        <v>6</v>
      </c>
      <c r="J22" s="12" t="n">
        <f aca="false">COUNTIFS(Results!$F$2:$F$482,A22,Results!$G$2:$G$482,"&gt;=1",Results!$G$2:$G$482,"&lt;=3")</f>
        <v>9</v>
      </c>
      <c r="K22" s="12" t="n">
        <f aca="false">COUNTIFS(Results!$F$2:$F$482,A22,Results!$G$2:$G$482,"&gt;=1",Results!$G$2:$G$482,"&lt;=10")</f>
        <v>10</v>
      </c>
      <c r="L22" s="12" t="n">
        <f aca="false">COUNTIFS(Results!$F$2:$F$482,A22,Results!$H$2:$H$482,"DNF")</f>
        <v>1</v>
      </c>
      <c r="M22" s="12" t="n">
        <f aca="false">COUNTIFS(Results!$F$2:$F$482,A22,Results!$G$2:$G$482,1,Results!$K$2:$K$482,"Yes")</f>
        <v>3</v>
      </c>
      <c r="N22" s="12"/>
    </row>
    <row r="23" customFormat="false" ht="15" hidden="false" customHeight="false" outlineLevel="0" collapsed="false">
      <c r="A23" s="12" t="s">
        <v>118</v>
      </c>
      <c r="B23" s="12" t="s">
        <v>57</v>
      </c>
      <c r="C23" s="12" t="s">
        <v>99</v>
      </c>
      <c r="D23" s="12" t="s">
        <v>100</v>
      </c>
      <c r="E23" s="12" t="s">
        <v>119</v>
      </c>
      <c r="F23" s="12" t="s">
        <v>120</v>
      </c>
      <c r="G23" s="12" t="n">
        <f aca="false">COUNTIF(Results!$F$2:$F$482,A23)</f>
        <v>10</v>
      </c>
      <c r="H23" s="12" t="n">
        <f aca="false">SUMIFS(Results!$M$2:$M$482,Results!$F$2:$F$482,A23)</f>
        <v>6</v>
      </c>
      <c r="I23" s="12" t="n">
        <f aca="false">COUNTIFS(Results!$F$2:$F$482,A23,Results!$G$2:$G$482,1)</f>
        <v>3</v>
      </c>
      <c r="J23" s="12" t="n">
        <f aca="false">COUNTIFS(Results!$F$2:$F$482,A23,Results!$G$2:$G$482,"&gt;=1",Results!$G$2:$G$482,"&lt;=3")</f>
        <v>5</v>
      </c>
      <c r="K23" s="12" t="n">
        <f aca="false">COUNTIFS(Results!$F$2:$F$482,A23,Results!$G$2:$G$482,"&gt;=1",Results!$G$2:$G$482,"&lt;=10")</f>
        <v>6</v>
      </c>
      <c r="L23" s="12" t="n">
        <f aca="false">COUNTIFS(Results!$F$2:$F$482,A23,Results!$H$2:$H$482,"DNF")</f>
        <v>1</v>
      </c>
      <c r="M23" s="12" t="n">
        <f aca="false">COUNTIFS(Results!$F$2:$F$482,A23,Results!$G$2:$G$482,1,Results!$K$2:$K$482,"Yes")</f>
        <v>2</v>
      </c>
      <c r="N23" s="12"/>
    </row>
    <row r="24" customFormat="false" ht="15" hidden="false" customHeight="false" outlineLevel="0" collapsed="false">
      <c r="A24" s="12" t="s">
        <v>121</v>
      </c>
      <c r="B24" s="12" t="s">
        <v>57</v>
      </c>
      <c r="C24" s="12" t="s">
        <v>99</v>
      </c>
      <c r="D24" s="12" t="s">
        <v>100</v>
      </c>
      <c r="E24" s="12" t="s">
        <v>122</v>
      </c>
      <c r="F24" s="12" t="s">
        <v>123</v>
      </c>
      <c r="G24" s="12" t="n">
        <f aca="false">COUNTIF(Results!$F$2:$F$482,A24)</f>
        <v>7</v>
      </c>
      <c r="H24" s="12" t="n">
        <f aca="false">SUMIFS(Results!$M$2:$M$482,Results!$F$2:$F$482,A24)</f>
        <v>4</v>
      </c>
      <c r="I24" s="12" t="n">
        <f aca="false">COUNTIFS(Results!$F$2:$F$482,A24,Results!$G$2:$G$482,1)</f>
        <v>0</v>
      </c>
      <c r="J24" s="12" t="n">
        <f aca="false">COUNTIFS(Results!$F$2:$F$482,A24,Results!$G$2:$G$482,"&gt;=1",Results!$G$2:$G$482,"&lt;=3")</f>
        <v>0</v>
      </c>
      <c r="K24" s="12" t="n">
        <f aca="false">COUNTIFS(Results!$F$2:$F$482,A24,Results!$G$2:$G$482,"&gt;=1",Results!$G$2:$G$482,"&lt;=10")</f>
        <v>0</v>
      </c>
      <c r="L24" s="12" t="n">
        <f aca="false">COUNTIFS(Results!$F$2:$F$482,A24,Results!$H$2:$H$482,"DNF")</f>
        <v>3</v>
      </c>
      <c r="M24" s="12" t="n">
        <f aca="false">COUNTIFS(Results!$F$2:$F$482,A24,Results!$G$2:$G$482,1,Results!$K$2:$K$482,"Yes")</f>
        <v>0</v>
      </c>
      <c r="N24" s="12"/>
    </row>
    <row r="25" customFormat="false" ht="15" hidden="false" customHeight="false" outlineLevel="0" collapsed="false">
      <c r="A25" s="7" t="s">
        <v>124</v>
      </c>
      <c r="G25" s="7" t="n">
        <f aca="false">SUM(G5:G24)</f>
        <v>481</v>
      </c>
      <c r="H25" s="7" t="n">
        <f aca="false">SUM(H5:H24)</f>
        <v>251</v>
      </c>
      <c r="I25" s="7" t="n">
        <f aca="false">SUM(I5:I24)</f>
        <v>83</v>
      </c>
      <c r="J25" s="7" t="n">
        <f aca="false">SUM(J5:J24)</f>
        <v>180</v>
      </c>
      <c r="K25" s="7" t="n">
        <f aca="false">SUM(K5:K24)</f>
        <v>251</v>
      </c>
      <c r="L25" s="7" t="n">
        <f aca="false">SUM(L5:L24)</f>
        <v>29</v>
      </c>
      <c r="M25" s="7" t="n">
        <f aca="false">SUM(M5:M24)</f>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1"/>
    <col collapsed="false" customWidth="true" hidden="false" outlineLevel="0" max="4" min="4" style="0" width="46"/>
    <col collapsed="false" customWidth="true" hidden="false" outlineLevel="0" max="5" min="5" style="0" width="24"/>
    <col collapsed="false" customWidth="true" hidden="false" outlineLevel="0" max="6" min="6" style="0" width="8"/>
    <col collapsed="false" customWidth="true" hidden="false" outlineLevel="0" max="7" min="7" style="0" width="11"/>
    <col collapsed="false" customWidth="true" hidden="false" outlineLevel="0" max="8" min="8" style="0" width="8"/>
    <col collapsed="false" customWidth="true" hidden="false" outlineLevel="0" max="9" min="9" style="0" width="10"/>
    <col collapsed="false" customWidth="true" hidden="false" outlineLevel="0" max="10" min="10" style="0" width="12"/>
    <col collapsed="false" customWidth="true" hidden="false" outlineLevel="0" max="12" min="11" style="0" width="9"/>
    <col collapsed="false" customWidth="true" hidden="false" outlineLevel="0" max="13" min="13" style="0" width="10"/>
    <col collapsed="false" customWidth="true" hidden="false" outlineLevel="0" max="14" min="14" style="0" width="9"/>
    <col collapsed="false" customWidth="true" hidden="false" outlineLevel="0" max="15" min="15" style="0" width="7"/>
    <col collapsed="false" customWidth="true" hidden="false" outlineLevel="0" max="16" min="16" style="0" width="20"/>
    <col collapsed="false" customWidth="true" hidden="false" outlineLevel="0" max="17" min="17" style="0" width="60"/>
  </cols>
  <sheetData>
    <row r="1" customFormat="false" ht="30" hidden="false" customHeight="true" outlineLevel="0" collapsed="false">
      <c r="A1" s="9" t="s">
        <v>125</v>
      </c>
      <c r="B1" s="9" t="s">
        <v>126</v>
      </c>
      <c r="C1" s="9" t="s">
        <v>127</v>
      </c>
      <c r="D1" s="9" t="s">
        <v>128</v>
      </c>
      <c r="E1" s="9" t="s">
        <v>129</v>
      </c>
      <c r="F1" s="9" t="s">
        <v>130</v>
      </c>
      <c r="G1" s="9" t="s">
        <v>131</v>
      </c>
      <c r="H1" s="9" t="s">
        <v>132</v>
      </c>
      <c r="I1" s="9" t="s">
        <v>133</v>
      </c>
      <c r="J1" s="9" t="s">
        <v>134</v>
      </c>
      <c r="K1" s="9" t="s">
        <v>135</v>
      </c>
      <c r="L1" s="9" t="s">
        <v>49</v>
      </c>
      <c r="M1" s="9" t="s">
        <v>136</v>
      </c>
      <c r="N1" s="9" t="s">
        <v>137</v>
      </c>
      <c r="O1" s="9" t="s">
        <v>51</v>
      </c>
      <c r="P1" s="9" t="s">
        <v>138</v>
      </c>
      <c r="Q1" s="9" t="s">
        <v>55</v>
      </c>
    </row>
    <row r="2" customFormat="false" ht="15" hidden="false" customHeight="false" outlineLevel="0" collapsed="false">
      <c r="A2" s="12" t="s">
        <v>139</v>
      </c>
      <c r="B2" s="13" t="n">
        <v>46026</v>
      </c>
      <c r="C2" s="13" t="n">
        <v>46026</v>
      </c>
      <c r="D2" s="14" t="s">
        <v>140</v>
      </c>
      <c r="E2" s="12" t="s">
        <v>141</v>
      </c>
      <c r="F2" s="12" t="s">
        <v>57</v>
      </c>
      <c r="G2" s="12" t="s">
        <v>142</v>
      </c>
      <c r="H2" s="12"/>
      <c r="I2" s="12" t="s">
        <v>143</v>
      </c>
      <c r="J2" s="12" t="s">
        <v>144</v>
      </c>
      <c r="K2" s="12" t="s">
        <v>144</v>
      </c>
      <c r="L2" s="12" t="n">
        <f aca="false">COUNTIF(Results!$A$2:$A$482,A2)</f>
        <v>1</v>
      </c>
      <c r="M2" s="12" t="n">
        <f aca="false">SUMIFS(Results!$M$2:$M$482,Results!$A$2:$A$482,A2)</f>
        <v>1</v>
      </c>
      <c r="N2" s="12" t="n">
        <f aca="false">IF(COUNTIFS(Results!$A$2:$A$482,A2,Results!$G$2:$G$482,"&gt;0")=0,"",_xlfn.MINIFS(Results!$G$2:$G$482,Results!$A$2:$A$482,A2,Results!$G$2:$G$482,"&gt;0"))</f>
        <v>2</v>
      </c>
      <c r="O2" s="12" t="n">
        <f aca="false">COUNTIFS(Results!$A$2:$A$482,A2,Results!$G$2:$G$482,1)</f>
        <v>0</v>
      </c>
      <c r="P2" s="12" t="str">
        <f aca="false">IF(K2="Yes","Training",IF(L2&gt;0,"Results found",IF(AND(B2&lt;&gt;"",B2&gt;Summary!$B$4),"Upcoming","No team result found")))</f>
        <v>Results found</v>
      </c>
      <c r="Q2" s="14" t="s">
        <v>145</v>
      </c>
    </row>
    <row r="3" customFormat="false" ht="23.85" hidden="false" customHeight="false" outlineLevel="0" collapsed="false">
      <c r="A3" s="12" t="s">
        <v>146</v>
      </c>
      <c r="B3" s="13" t="n">
        <v>46031</v>
      </c>
      <c r="C3" s="13" t="n">
        <v>46033</v>
      </c>
      <c r="D3" s="14" t="s">
        <v>147</v>
      </c>
      <c r="E3" s="12" t="s">
        <v>148</v>
      </c>
      <c r="F3" s="12" t="s">
        <v>57</v>
      </c>
      <c r="G3" s="12" t="s">
        <v>142</v>
      </c>
      <c r="H3" s="12" t="s">
        <v>149</v>
      </c>
      <c r="I3" s="12" t="s">
        <v>143</v>
      </c>
      <c r="J3" s="12" t="s">
        <v>143</v>
      </c>
      <c r="K3" s="12" t="s">
        <v>144</v>
      </c>
      <c r="L3" s="12" t="n">
        <f aca="false">COUNTIF(Results!$A$2:$A$482,A3)</f>
        <v>8</v>
      </c>
      <c r="M3" s="12" t="n">
        <f aca="false">SUMIFS(Results!$M$2:$M$482,Results!$A$2:$A$482,A3)</f>
        <v>5</v>
      </c>
      <c r="N3" s="12" t="n">
        <f aca="false">IF(COUNTIFS(Results!$A$2:$A$482,A3,Results!$G$2:$G$482,"&gt;0")=0,"",_xlfn.MINIFS(Results!$G$2:$G$482,Results!$A$2:$A$482,A3,Results!$G$2:$G$482,"&gt;0"))</f>
        <v>1</v>
      </c>
      <c r="O3" s="12" t="n">
        <f aca="false">COUNTIFS(Results!$A$2:$A$482,A3,Results!$G$2:$G$482,1)</f>
        <v>1</v>
      </c>
      <c r="P3" s="12" t="str">
        <f aca="false">IF(K3="Yes","Training",IF(L3&gt;0,"Results found",IF(AND(B3&lt;&gt;"",B3&gt;Summary!$B$4),"Upcoming","No team result found")))</f>
        <v>Results found</v>
      </c>
      <c r="Q3" s="14"/>
    </row>
    <row r="4" customFormat="false" ht="15" hidden="false" customHeight="false" outlineLevel="0" collapsed="false">
      <c r="A4" s="12" t="s">
        <v>150</v>
      </c>
      <c r="B4" s="13" t="n">
        <v>46054</v>
      </c>
      <c r="C4" s="13" t="n">
        <v>46058</v>
      </c>
      <c r="D4" s="14" t="s">
        <v>151</v>
      </c>
      <c r="E4" s="12" t="s">
        <v>152</v>
      </c>
      <c r="F4" s="12" t="s">
        <v>153</v>
      </c>
      <c r="G4" s="12" t="s">
        <v>154</v>
      </c>
      <c r="H4" s="12" t="s">
        <v>155</v>
      </c>
      <c r="I4" s="12" t="s">
        <v>143</v>
      </c>
      <c r="J4" s="12" t="s">
        <v>144</v>
      </c>
      <c r="K4" s="12" t="s">
        <v>144</v>
      </c>
      <c r="L4" s="12" t="n">
        <f aca="false">COUNTIF(Results!$A$2:$A$482,A4)</f>
        <v>9</v>
      </c>
      <c r="M4" s="12" t="n">
        <f aca="false">SUMIFS(Results!$M$2:$M$482,Results!$A$2:$A$482,A4)</f>
        <v>4</v>
      </c>
      <c r="N4" s="12" t="n">
        <f aca="false">IF(COUNTIFS(Results!$A$2:$A$482,A4,Results!$G$2:$G$482,"&gt;0")=0,"",_xlfn.MINIFS(Results!$G$2:$G$482,Results!$A$2:$A$482,A4,Results!$G$2:$G$482,"&gt;0"))</f>
        <v>5</v>
      </c>
      <c r="O4" s="12" t="n">
        <f aca="false">COUNTIFS(Results!$A$2:$A$482,A4,Results!$G$2:$G$482,1)</f>
        <v>0</v>
      </c>
      <c r="P4" s="12" t="str">
        <f aca="false">IF(K4="Yes","Training",IF(L4&gt;0,"Results found",IF(AND(B4&lt;&gt;"",B4&gt;Summary!$B$4),"Upcoming","No team result found")))</f>
        <v>Results found</v>
      </c>
      <c r="Q4" s="14" t="s">
        <v>156</v>
      </c>
    </row>
    <row r="5" customFormat="false" ht="15" hidden="false" customHeight="false" outlineLevel="0" collapsed="false">
      <c r="A5" s="12" t="s">
        <v>157</v>
      </c>
      <c r="B5" s="13" t="n">
        <v>46056</v>
      </c>
      <c r="C5" s="13" t="n">
        <v>46056</v>
      </c>
      <c r="D5" s="14" t="s">
        <v>158</v>
      </c>
      <c r="E5" s="12" t="s">
        <v>159</v>
      </c>
      <c r="F5" s="12" t="s">
        <v>57</v>
      </c>
      <c r="G5" s="12" t="s">
        <v>154</v>
      </c>
      <c r="H5" s="12"/>
      <c r="I5" s="12" t="s">
        <v>143</v>
      </c>
      <c r="J5" s="12" t="s">
        <v>144</v>
      </c>
      <c r="K5" s="12" t="s">
        <v>143</v>
      </c>
      <c r="L5" s="12" t="n">
        <f aca="false">COUNTIF(Results!$A$2:$A$482,A5)</f>
        <v>0</v>
      </c>
      <c r="M5" s="12" t="n">
        <f aca="false">SUMIFS(Results!$M$2:$M$482,Results!$A$2:$A$482,A5)</f>
        <v>0</v>
      </c>
      <c r="N5" s="12" t="str">
        <f aca="false">IF(COUNTIFS(Results!$A$2:$A$482,A5,Results!$G$2:$G$482,"&gt;0")=0,"",_xlfn.MINIFS(Results!$G$2:$G$482,Results!$A$2:$A$482,A5,Results!$G$2:$G$482,"&gt;0"))</f>
        <v/>
      </c>
      <c r="O5" s="12" t="n">
        <f aca="false">COUNTIFS(Results!$A$2:$A$482,A5,Results!$G$2:$G$482,1)</f>
        <v>0</v>
      </c>
      <c r="P5" s="12" t="str">
        <f aca="false">IF(K5="Yes","Training",IF(L5&gt;0,"Results found",IF(AND(B5&lt;&gt;"",B5&gt;Summary!$B$4),"Upcoming","No team result found")))</f>
        <v>Training</v>
      </c>
      <c r="Q5" s="14"/>
    </row>
    <row r="6" customFormat="false" ht="15" hidden="false" customHeight="false" outlineLevel="0" collapsed="false">
      <c r="A6" s="12" t="s">
        <v>160</v>
      </c>
      <c r="B6" s="13" t="n">
        <v>46060</v>
      </c>
      <c r="C6" s="13" t="n">
        <v>46075</v>
      </c>
      <c r="D6" s="14" t="s">
        <v>161</v>
      </c>
      <c r="E6" s="12"/>
      <c r="F6" s="12" t="s">
        <v>162</v>
      </c>
      <c r="G6" s="12" t="s">
        <v>163</v>
      </c>
      <c r="H6" s="12"/>
      <c r="I6" s="12" t="s">
        <v>143</v>
      </c>
      <c r="J6" s="12" t="s">
        <v>144</v>
      </c>
      <c r="K6" s="12" t="s">
        <v>143</v>
      </c>
      <c r="L6" s="12" t="n">
        <f aca="false">COUNTIF(Results!$A$2:$A$482,A6)</f>
        <v>0</v>
      </c>
      <c r="M6" s="12" t="n">
        <f aca="false">SUMIFS(Results!$M$2:$M$482,Results!$A$2:$A$482,A6)</f>
        <v>0</v>
      </c>
      <c r="N6" s="12" t="str">
        <f aca="false">IF(COUNTIFS(Results!$A$2:$A$482,A6,Results!$G$2:$G$482,"&gt;0")=0,"",_xlfn.MINIFS(Results!$G$2:$G$482,Results!$A$2:$A$482,A6,Results!$G$2:$G$482,"&gt;0"))</f>
        <v/>
      </c>
      <c r="O6" s="12" t="n">
        <f aca="false">COUNTIFS(Results!$A$2:$A$482,A6,Results!$G$2:$G$482,1)</f>
        <v>0</v>
      </c>
      <c r="P6" s="12" t="str">
        <f aca="false">IF(K6="Yes","Training",IF(L6&gt;0,"Results found",IF(AND(B6&lt;&gt;"",B6&gt;Summary!$B$4),"Upcoming","No team result found")))</f>
        <v>Training</v>
      </c>
      <c r="Q6" s="14"/>
    </row>
    <row r="7" customFormat="false" ht="15" hidden="false" customHeight="false" outlineLevel="0" collapsed="false">
      <c r="A7" s="12" t="s">
        <v>164</v>
      </c>
      <c r="B7" s="13" t="n">
        <v>46074</v>
      </c>
      <c r="C7" s="13" t="n">
        <v>46075</v>
      </c>
      <c r="D7" s="14" t="s">
        <v>165</v>
      </c>
      <c r="E7" s="12" t="s">
        <v>159</v>
      </c>
      <c r="F7" s="12" t="s">
        <v>57</v>
      </c>
      <c r="G7" s="12" t="s">
        <v>154</v>
      </c>
      <c r="H7" s="12" t="s">
        <v>44</v>
      </c>
      <c r="I7" s="12" t="s">
        <v>143</v>
      </c>
      <c r="J7" s="12" t="s">
        <v>144</v>
      </c>
      <c r="K7" s="12" t="s">
        <v>144</v>
      </c>
      <c r="L7" s="12" t="n">
        <f aca="false">COUNTIF(Results!$A$2:$A$482,A7)</f>
        <v>7</v>
      </c>
      <c r="M7" s="12" t="n">
        <f aca="false">SUMIFS(Results!$M$2:$M$482,Results!$A$2:$A$482,A7)</f>
        <v>4</v>
      </c>
      <c r="N7" s="12" t="n">
        <f aca="false">IF(COUNTIFS(Results!$A$2:$A$482,A7,Results!$G$2:$G$482,"&gt;0")=0,"",_xlfn.MINIFS(Results!$G$2:$G$482,Results!$A$2:$A$482,A7,Results!$G$2:$G$482,"&gt;0"))</f>
        <v>1</v>
      </c>
      <c r="O7" s="12" t="n">
        <f aca="false">COUNTIFS(Results!$A$2:$A$482,A7,Results!$G$2:$G$482,1)</f>
        <v>3</v>
      </c>
      <c r="P7" s="12" t="str">
        <f aca="false">IF(K7="Yes","Training",IF(L7&gt;0,"Results found",IF(AND(B7&lt;&gt;"",B7&gt;Summary!$B$4),"Upcoming","No team result found")))</f>
        <v>Results found</v>
      </c>
      <c r="Q7" s="14"/>
    </row>
    <row r="8" customFormat="false" ht="15" hidden="false" customHeight="false" outlineLevel="0" collapsed="false">
      <c r="A8" s="12" t="s">
        <v>166</v>
      </c>
      <c r="B8" s="13" t="n">
        <v>46085</v>
      </c>
      <c r="C8" s="13" t="n">
        <v>46085</v>
      </c>
      <c r="D8" s="14" t="s">
        <v>167</v>
      </c>
      <c r="E8" s="12" t="s">
        <v>168</v>
      </c>
      <c r="F8" s="12" t="s">
        <v>162</v>
      </c>
      <c r="G8" s="12" t="s">
        <v>163</v>
      </c>
      <c r="H8" s="12" t="s">
        <v>169</v>
      </c>
      <c r="I8" s="12" t="s">
        <v>143</v>
      </c>
      <c r="J8" s="12" t="s">
        <v>144</v>
      </c>
      <c r="K8" s="12" t="s">
        <v>144</v>
      </c>
      <c r="L8" s="12" t="n">
        <f aca="false">COUNTIF(Results!$A$2:$A$482,A8)</f>
        <v>6</v>
      </c>
      <c r="M8" s="12" t="n">
        <f aca="false">SUMIFS(Results!$M$2:$M$482,Results!$A$2:$A$482,A8)</f>
        <v>6</v>
      </c>
      <c r="N8" s="12" t="n">
        <f aca="false">IF(COUNTIFS(Results!$A$2:$A$482,A8,Results!$G$2:$G$482,"&gt;0")=0,"",_xlfn.MINIFS(Results!$G$2:$G$482,Results!$A$2:$A$482,A8,Results!$G$2:$G$482,"&gt;0"))</f>
        <v>4</v>
      </c>
      <c r="O8" s="12" t="n">
        <f aca="false">COUNTIFS(Results!$A$2:$A$482,A8,Results!$G$2:$G$482,1)</f>
        <v>0</v>
      </c>
      <c r="P8" s="12" t="str">
        <f aca="false">IF(K8="Yes","Training",IF(L8&gt;0,"Results found",IF(AND(B8&lt;&gt;"",B8&gt;Summary!$B$4),"Upcoming","No team result found")))</f>
        <v>Results found</v>
      </c>
      <c r="Q8" s="14"/>
    </row>
    <row r="9" customFormat="false" ht="15" hidden="false" customHeight="false" outlineLevel="0" collapsed="false">
      <c r="A9" s="12" t="s">
        <v>170</v>
      </c>
      <c r="B9" s="13" t="n">
        <v>46088</v>
      </c>
      <c r="C9" s="13" t="n">
        <v>46100</v>
      </c>
      <c r="D9" s="14" t="s">
        <v>161</v>
      </c>
      <c r="E9" s="12"/>
      <c r="F9" s="12" t="s">
        <v>162</v>
      </c>
      <c r="G9" s="12" t="s">
        <v>163</v>
      </c>
      <c r="H9" s="12"/>
      <c r="I9" s="12" t="s">
        <v>143</v>
      </c>
      <c r="J9" s="12" t="s">
        <v>144</v>
      </c>
      <c r="K9" s="12" t="s">
        <v>143</v>
      </c>
      <c r="L9" s="12" t="n">
        <f aca="false">COUNTIF(Results!$A$2:$A$482,A9)</f>
        <v>0</v>
      </c>
      <c r="M9" s="12" t="n">
        <f aca="false">SUMIFS(Results!$M$2:$M$482,Results!$A$2:$A$482,A9)</f>
        <v>0</v>
      </c>
      <c r="N9" s="12" t="str">
        <f aca="false">IF(COUNTIFS(Results!$A$2:$A$482,A9,Results!$G$2:$G$482,"&gt;0")=0,"",_xlfn.MINIFS(Results!$G$2:$G$482,Results!$A$2:$A$482,A9,Results!$G$2:$G$482,"&gt;0"))</f>
        <v/>
      </c>
      <c r="O9" s="12" t="n">
        <f aca="false">COUNTIFS(Results!$A$2:$A$482,A9,Results!$G$2:$G$482,1)</f>
        <v>0</v>
      </c>
      <c r="P9" s="12" t="str">
        <f aca="false">IF(K9="Yes","Training",IF(L9&gt;0,"Results found",IF(AND(B9&lt;&gt;"",B9&gt;Summary!$B$4),"Upcoming","No team result found")))</f>
        <v>Training</v>
      </c>
      <c r="Q9" s="14"/>
    </row>
    <row r="10" customFormat="false" ht="15" hidden="false" customHeight="false" outlineLevel="0" collapsed="false">
      <c r="A10" s="12" t="s">
        <v>171</v>
      </c>
      <c r="B10" s="13" t="n">
        <v>46089</v>
      </c>
      <c r="C10" s="13" t="n">
        <v>46089</v>
      </c>
      <c r="D10" s="14" t="s">
        <v>172</v>
      </c>
      <c r="E10" s="12" t="s">
        <v>173</v>
      </c>
      <c r="F10" s="12" t="s">
        <v>162</v>
      </c>
      <c r="G10" s="12" t="s">
        <v>163</v>
      </c>
      <c r="H10" s="12" t="s">
        <v>169</v>
      </c>
      <c r="I10" s="12" t="s">
        <v>143</v>
      </c>
      <c r="J10" s="12" t="s">
        <v>144</v>
      </c>
      <c r="K10" s="12" t="s">
        <v>144</v>
      </c>
      <c r="L10" s="12" t="n">
        <f aca="false">COUNTIF(Results!$A$2:$A$482,A10)</f>
        <v>6</v>
      </c>
      <c r="M10" s="12" t="n">
        <f aca="false">SUMIFS(Results!$M$2:$M$482,Results!$A$2:$A$482,A10)</f>
        <v>6</v>
      </c>
      <c r="N10" s="12" t="n">
        <f aca="false">IF(COUNTIFS(Results!$A$2:$A$482,A10,Results!$G$2:$G$482,"&gt;0")=0,"",_xlfn.MINIFS(Results!$G$2:$G$482,Results!$A$2:$A$482,A10,Results!$G$2:$G$482,"&gt;0"))</f>
        <v>2</v>
      </c>
      <c r="O10" s="12" t="n">
        <f aca="false">COUNTIFS(Results!$A$2:$A$482,A10,Results!$G$2:$G$482,1)</f>
        <v>0</v>
      </c>
      <c r="P10" s="12" t="str">
        <f aca="false">IF(K10="Yes","Training",IF(L10&gt;0,"Results found",IF(AND(B10&lt;&gt;"",B10&gt;Summary!$B$4),"Upcoming","No team result found")))</f>
        <v>Results found</v>
      </c>
      <c r="Q10" s="14"/>
    </row>
    <row r="11" customFormat="false" ht="15" hidden="false" customHeight="false" outlineLevel="0" collapsed="false">
      <c r="A11" s="12" t="s">
        <v>174</v>
      </c>
      <c r="B11" s="13" t="n">
        <v>46103</v>
      </c>
      <c r="C11" s="13" t="n">
        <v>46103</v>
      </c>
      <c r="D11" s="14" t="s">
        <v>175</v>
      </c>
      <c r="E11" s="12"/>
      <c r="F11" s="12" t="s">
        <v>176</v>
      </c>
      <c r="G11" s="12" t="s">
        <v>163</v>
      </c>
      <c r="H11" s="12" t="s">
        <v>177</v>
      </c>
      <c r="I11" s="12" t="s">
        <v>143</v>
      </c>
      <c r="J11" s="12" t="s">
        <v>144</v>
      </c>
      <c r="K11" s="12" t="s">
        <v>144</v>
      </c>
      <c r="L11" s="12" t="n">
        <f aca="false">COUNTIF(Results!$A$2:$A$482,A11)</f>
        <v>7</v>
      </c>
      <c r="M11" s="12" t="n">
        <f aca="false">SUMIFS(Results!$M$2:$M$482,Results!$A$2:$A$482,A11)</f>
        <v>7</v>
      </c>
      <c r="N11" s="12" t="n">
        <f aca="false">IF(COUNTIFS(Results!$A$2:$A$482,A11,Results!$G$2:$G$482,"&gt;0")=0,"",_xlfn.MINIFS(Results!$G$2:$G$482,Results!$A$2:$A$482,A11,Results!$G$2:$G$482,"&gt;0"))</f>
        <v>9</v>
      </c>
      <c r="O11" s="12" t="n">
        <f aca="false">COUNTIFS(Results!$A$2:$A$482,A11,Results!$G$2:$G$482,1)</f>
        <v>0</v>
      </c>
      <c r="P11" s="12" t="str">
        <f aca="false">IF(K11="Yes","Training",IF(L11&gt;0,"Results found",IF(AND(B11&lt;&gt;"",B11&gt;Summary!$B$4),"Upcoming","No team result found")))</f>
        <v>Results found</v>
      </c>
      <c r="Q11" s="14"/>
    </row>
    <row r="12" customFormat="false" ht="15" hidden="false" customHeight="false" outlineLevel="0" collapsed="false">
      <c r="A12" s="12" t="s">
        <v>178</v>
      </c>
      <c r="B12" s="13" t="n">
        <v>46109</v>
      </c>
      <c r="C12" s="13" t="n">
        <v>46109</v>
      </c>
      <c r="D12" s="14" t="s">
        <v>179</v>
      </c>
      <c r="E12" s="12" t="s">
        <v>180</v>
      </c>
      <c r="F12" s="12" t="s">
        <v>98</v>
      </c>
      <c r="G12" s="12" t="s">
        <v>163</v>
      </c>
      <c r="H12" s="12"/>
      <c r="I12" s="12" t="s">
        <v>143</v>
      </c>
      <c r="J12" s="12" t="s">
        <v>144</v>
      </c>
      <c r="K12" s="12" t="s">
        <v>144</v>
      </c>
      <c r="L12" s="12" t="n">
        <f aca="false">COUNTIF(Results!$A$2:$A$482,A12)</f>
        <v>0</v>
      </c>
      <c r="M12" s="12" t="n">
        <f aca="false">SUMIFS(Results!$M$2:$M$482,Results!$A$2:$A$482,A12)</f>
        <v>0</v>
      </c>
      <c r="N12" s="12" t="str">
        <f aca="false">IF(COUNTIFS(Results!$A$2:$A$482,A12,Results!$G$2:$G$482,"&gt;0")=0,"",_xlfn.MINIFS(Results!$G$2:$G$482,Results!$A$2:$A$482,A12,Results!$G$2:$G$482,"&gt;0"))</f>
        <v/>
      </c>
      <c r="O12" s="12" t="n">
        <f aca="false">COUNTIFS(Results!$A$2:$A$482,A12,Results!$G$2:$G$482,1)</f>
        <v>0</v>
      </c>
      <c r="P12" s="12" t="str">
        <f aca="false">IF(K12="Yes","Training",IF(L12&gt;0,"Results found",IF(AND(B12&lt;&gt;"",B12&gt;Summary!$B$4),"Upcoming","No team result found")))</f>
        <v>No team result found</v>
      </c>
      <c r="Q12" s="14"/>
    </row>
    <row r="13" customFormat="false" ht="15" hidden="false" customHeight="false" outlineLevel="0" collapsed="false">
      <c r="A13" s="12" t="s">
        <v>181</v>
      </c>
      <c r="B13" s="13" t="n">
        <v>46116</v>
      </c>
      <c r="C13" s="13" t="n">
        <v>46116</v>
      </c>
      <c r="D13" s="14" t="s">
        <v>182</v>
      </c>
      <c r="E13" s="12"/>
      <c r="F13" s="12" t="s">
        <v>183</v>
      </c>
      <c r="G13" s="12" t="s">
        <v>163</v>
      </c>
      <c r="H13" s="12" t="s">
        <v>169</v>
      </c>
      <c r="I13" s="12" t="s">
        <v>143</v>
      </c>
      <c r="J13" s="12" t="s">
        <v>144</v>
      </c>
      <c r="K13" s="12" t="s">
        <v>144</v>
      </c>
      <c r="L13" s="12" t="n">
        <f aca="false">COUNTIF(Results!$A$2:$A$482,A13)</f>
        <v>6</v>
      </c>
      <c r="M13" s="12" t="n">
        <f aca="false">SUMIFS(Results!$M$2:$M$482,Results!$A$2:$A$482,A13)</f>
        <v>6</v>
      </c>
      <c r="N13" s="12" t="n">
        <f aca="false">IF(COUNTIFS(Results!$A$2:$A$482,A13,Results!$G$2:$G$482,"&gt;0")=0,"",_xlfn.MINIFS(Results!$G$2:$G$482,Results!$A$2:$A$482,A13,Results!$G$2:$G$482,"&gt;0"))</f>
        <v>21</v>
      </c>
      <c r="O13" s="12" t="n">
        <f aca="false">COUNTIFS(Results!$A$2:$A$482,A13,Results!$G$2:$G$482,1)</f>
        <v>0</v>
      </c>
      <c r="P13" s="12" t="str">
        <f aca="false">IF(K13="Yes","Training",IF(L13&gt;0,"Results found",IF(AND(B13&lt;&gt;"",B13&gt;Summary!$B$4),"Upcoming","No team result found")))</f>
        <v>Results found</v>
      </c>
      <c r="Q13" s="14" t="s">
        <v>184</v>
      </c>
    </row>
    <row r="14" customFormat="false" ht="15" hidden="false" customHeight="false" outlineLevel="0" collapsed="false">
      <c r="A14" s="12" t="s">
        <v>185</v>
      </c>
      <c r="B14" s="13" t="n">
        <v>46118</v>
      </c>
      <c r="C14" s="13" t="n">
        <v>46118</v>
      </c>
      <c r="D14" s="14" t="s">
        <v>186</v>
      </c>
      <c r="E14" s="12" t="s">
        <v>187</v>
      </c>
      <c r="F14" s="12" t="s">
        <v>176</v>
      </c>
      <c r="G14" s="12" t="s">
        <v>163</v>
      </c>
      <c r="H14" s="12" t="s">
        <v>177</v>
      </c>
      <c r="I14" s="12" t="s">
        <v>143</v>
      </c>
      <c r="J14" s="12" t="s">
        <v>144</v>
      </c>
      <c r="K14" s="12" t="s">
        <v>144</v>
      </c>
      <c r="L14" s="12" t="n">
        <f aca="false">COUNTIF(Results!$A$2:$A$482,A14)</f>
        <v>7</v>
      </c>
      <c r="M14" s="12" t="n">
        <f aca="false">SUMIFS(Results!$M$2:$M$482,Results!$A$2:$A$482,A14)</f>
        <v>7</v>
      </c>
      <c r="N14" s="12" t="n">
        <f aca="false">IF(COUNTIFS(Results!$A$2:$A$482,A14,Results!$G$2:$G$482,"&gt;0")=0,"",_xlfn.MINIFS(Results!$G$2:$G$482,Results!$A$2:$A$482,A14,Results!$G$2:$G$482,"&gt;0"))</f>
        <v>7</v>
      </c>
      <c r="O14" s="12" t="n">
        <f aca="false">COUNTIFS(Results!$A$2:$A$482,A14,Results!$G$2:$G$482,1)</f>
        <v>0</v>
      </c>
      <c r="P14" s="12" t="str">
        <f aca="false">IF(K14="Yes","Training",IF(L14&gt;0,"Results found",IF(AND(B14&lt;&gt;"",B14&gt;Summary!$B$4),"Upcoming","No team result found")))</f>
        <v>Results found</v>
      </c>
      <c r="Q14" s="14"/>
    </row>
    <row r="15" customFormat="false" ht="15" hidden="false" customHeight="false" outlineLevel="0" collapsed="false">
      <c r="A15" s="12" t="s">
        <v>188</v>
      </c>
      <c r="B15" s="13" t="n">
        <v>46120</v>
      </c>
      <c r="C15" s="13" t="n">
        <v>46120</v>
      </c>
      <c r="D15" s="14" t="s">
        <v>189</v>
      </c>
      <c r="E15" s="12"/>
      <c r="F15" s="12" t="s">
        <v>176</v>
      </c>
      <c r="G15" s="12" t="s">
        <v>163</v>
      </c>
      <c r="H15" s="12" t="s">
        <v>190</v>
      </c>
      <c r="I15" s="12" t="s">
        <v>143</v>
      </c>
      <c r="J15" s="12" t="s">
        <v>144</v>
      </c>
      <c r="K15" s="12" t="s">
        <v>144</v>
      </c>
      <c r="L15" s="12" t="n">
        <f aca="false">COUNTIF(Results!$A$2:$A$482,A15)</f>
        <v>6</v>
      </c>
      <c r="M15" s="12" t="n">
        <f aca="false">SUMIFS(Results!$M$2:$M$482,Results!$A$2:$A$482,A15)</f>
        <v>6</v>
      </c>
      <c r="N15" s="12" t="n">
        <f aca="false">IF(COUNTIFS(Results!$A$2:$A$482,A15,Results!$G$2:$G$482,"&gt;0")=0,"",_xlfn.MINIFS(Results!$G$2:$G$482,Results!$A$2:$A$482,A15,Results!$G$2:$G$482,"&gt;0"))</f>
        <v>61</v>
      </c>
      <c r="O15" s="12" t="n">
        <f aca="false">COUNTIFS(Results!$A$2:$A$482,A15,Results!$G$2:$G$482,1)</f>
        <v>0</v>
      </c>
      <c r="P15" s="12" t="str">
        <f aca="false">IF(K15="Yes","Training",IF(L15&gt;0,"Results found",IF(AND(B15&lt;&gt;"",B15&gt;Summary!$B$4),"Upcoming","No team result found")))</f>
        <v>Results found</v>
      </c>
      <c r="Q15" s="14"/>
    </row>
    <row r="16" customFormat="false" ht="15" hidden="false" customHeight="false" outlineLevel="0" collapsed="false">
      <c r="A16" s="12" t="s">
        <v>191</v>
      </c>
      <c r="B16" s="13" t="n">
        <v>46124</v>
      </c>
      <c r="C16" s="13" t="n">
        <v>46124</v>
      </c>
      <c r="D16" s="14" t="s">
        <v>192</v>
      </c>
      <c r="E16" s="12"/>
      <c r="F16" s="12" t="s">
        <v>57</v>
      </c>
      <c r="G16" s="12" t="s">
        <v>163</v>
      </c>
      <c r="H16" s="12" t="s">
        <v>44</v>
      </c>
      <c r="I16" s="12" t="s">
        <v>143</v>
      </c>
      <c r="J16" s="12" t="s">
        <v>144</v>
      </c>
      <c r="K16" s="12" t="s">
        <v>144</v>
      </c>
      <c r="L16" s="12" t="n">
        <f aca="false">COUNTIF(Results!$A$2:$A$482,A16)</f>
        <v>6</v>
      </c>
      <c r="M16" s="12" t="n">
        <f aca="false">SUMIFS(Results!$M$2:$M$482,Results!$A$2:$A$482,A16)</f>
        <v>4</v>
      </c>
      <c r="N16" s="12" t="n">
        <f aca="false">IF(COUNTIFS(Results!$A$2:$A$482,A16,Results!$G$2:$G$482,"&gt;0")=0,"",_xlfn.MINIFS(Results!$G$2:$G$482,Results!$A$2:$A$482,A16,Results!$G$2:$G$482,"&gt;0"))</f>
        <v>1</v>
      </c>
      <c r="O16" s="12" t="n">
        <f aca="false">COUNTIFS(Results!$A$2:$A$482,A16,Results!$G$2:$G$482,1)</f>
        <v>2</v>
      </c>
      <c r="P16" s="12" t="str">
        <f aca="false">IF(K16="Yes","Training",IF(L16&gt;0,"Results found",IF(AND(B16&lt;&gt;"",B16&gt;Summary!$B$4),"Upcoming","No team result found")))</f>
        <v>Results found</v>
      </c>
      <c r="Q16" s="14"/>
    </row>
    <row r="17" customFormat="false" ht="15" hidden="false" customHeight="false" outlineLevel="0" collapsed="false">
      <c r="A17" s="12" t="s">
        <v>193</v>
      </c>
      <c r="B17" s="13" t="n">
        <v>46129</v>
      </c>
      <c r="C17" s="13" t="n">
        <v>46129</v>
      </c>
      <c r="D17" s="14" t="s">
        <v>194</v>
      </c>
      <c r="E17" s="12" t="s">
        <v>195</v>
      </c>
      <c r="F17" s="12" t="s">
        <v>176</v>
      </c>
      <c r="G17" s="12" t="s">
        <v>163</v>
      </c>
      <c r="H17" s="12" t="s">
        <v>190</v>
      </c>
      <c r="I17" s="12" t="s">
        <v>143</v>
      </c>
      <c r="J17" s="12" t="s">
        <v>144</v>
      </c>
      <c r="K17" s="12" t="s">
        <v>144</v>
      </c>
      <c r="L17" s="12" t="n">
        <f aca="false">COUNTIF(Results!$A$2:$A$482,A17)</f>
        <v>6</v>
      </c>
      <c r="M17" s="12" t="n">
        <f aca="false">SUMIFS(Results!$M$2:$M$482,Results!$A$2:$A$482,A17)</f>
        <v>6</v>
      </c>
      <c r="N17" s="12" t="n">
        <f aca="false">IF(COUNTIFS(Results!$A$2:$A$482,A17,Results!$G$2:$G$482,"&gt;0")=0,"",_xlfn.MINIFS(Results!$G$2:$G$482,Results!$A$2:$A$482,A17,Results!$G$2:$G$482,"&gt;0"))</f>
        <v>15</v>
      </c>
      <c r="O17" s="12" t="n">
        <f aca="false">COUNTIFS(Results!$A$2:$A$482,A17,Results!$G$2:$G$482,1)</f>
        <v>0</v>
      </c>
      <c r="P17" s="12" t="str">
        <f aca="false">IF(K17="Yes","Training",IF(L17&gt;0,"Results found",IF(AND(B17&lt;&gt;"",B17&gt;Summary!$B$4),"Upcoming","No team result found")))</f>
        <v>Results found</v>
      </c>
      <c r="Q17" s="14"/>
    </row>
    <row r="18" customFormat="false" ht="15" hidden="false" customHeight="false" outlineLevel="0" collapsed="false">
      <c r="A18" s="12" t="s">
        <v>196</v>
      </c>
      <c r="B18" s="13" t="n">
        <v>46130</v>
      </c>
      <c r="C18" s="13" t="n">
        <v>46131</v>
      </c>
      <c r="D18" s="14" t="s">
        <v>197</v>
      </c>
      <c r="E18" s="12" t="s">
        <v>198</v>
      </c>
      <c r="F18" s="12" t="s">
        <v>57</v>
      </c>
      <c r="G18" s="12" t="s">
        <v>163</v>
      </c>
      <c r="H18" s="12" t="s">
        <v>44</v>
      </c>
      <c r="I18" s="12" t="s">
        <v>143</v>
      </c>
      <c r="J18" s="12" t="s">
        <v>144</v>
      </c>
      <c r="K18" s="12" t="s">
        <v>144</v>
      </c>
      <c r="L18" s="12" t="n">
        <f aca="false">COUNTIF(Results!$A$2:$A$482,A18)</f>
        <v>0</v>
      </c>
      <c r="M18" s="12" t="n">
        <f aca="false">SUMIFS(Results!$M$2:$M$482,Results!$A$2:$A$482,A18)</f>
        <v>0</v>
      </c>
      <c r="N18" s="12" t="str">
        <f aca="false">IF(COUNTIFS(Results!$A$2:$A$482,A18,Results!$G$2:$G$482,"&gt;0")=0,"",_xlfn.MINIFS(Results!$G$2:$G$482,Results!$A$2:$A$482,A18,Results!$G$2:$G$482,"&gt;0"))</f>
        <v/>
      </c>
      <c r="O18" s="12" t="n">
        <f aca="false">COUNTIFS(Results!$A$2:$A$482,A18,Results!$G$2:$G$482,1)</f>
        <v>0</v>
      </c>
      <c r="P18" s="12" t="str">
        <f aca="false">IF(K18="Yes","Training",IF(L18&gt;0,"Results found",IF(AND(B18&lt;&gt;"",B18&gt;Summary!$B$4),"Upcoming","No team result found")))</f>
        <v>No team result found</v>
      </c>
      <c r="Q18" s="14"/>
    </row>
    <row r="19" customFormat="false" ht="15" hidden="false" customHeight="false" outlineLevel="0" collapsed="false">
      <c r="A19" s="12" t="s">
        <v>199</v>
      </c>
      <c r="B19" s="13" t="n">
        <v>46136</v>
      </c>
      <c r="C19" s="13" t="n">
        <v>46138</v>
      </c>
      <c r="D19" s="14" t="s">
        <v>200</v>
      </c>
      <c r="E19" s="12" t="s">
        <v>201</v>
      </c>
      <c r="F19" s="12" t="s">
        <v>183</v>
      </c>
      <c r="G19" s="12" t="s">
        <v>163</v>
      </c>
      <c r="H19" s="12" t="s">
        <v>202</v>
      </c>
      <c r="I19" s="12" t="s">
        <v>143</v>
      </c>
      <c r="J19" s="12" t="s">
        <v>144</v>
      </c>
      <c r="K19" s="12" t="s">
        <v>144</v>
      </c>
      <c r="L19" s="12" t="n">
        <f aca="false">COUNTIF(Results!$A$2:$A$482,A19)</f>
        <v>16</v>
      </c>
      <c r="M19" s="12" t="n">
        <f aca="false">SUMIFS(Results!$M$2:$M$482,Results!$A$2:$A$482,A19)</f>
        <v>4</v>
      </c>
      <c r="N19" s="12" t="n">
        <f aca="false">IF(COUNTIFS(Results!$A$2:$A$482,A19,Results!$G$2:$G$482,"&gt;0")=0,"",_xlfn.MINIFS(Results!$G$2:$G$482,Results!$A$2:$A$482,A19,Results!$G$2:$G$482,"&gt;0"))</f>
        <v>15</v>
      </c>
      <c r="O19" s="12" t="n">
        <f aca="false">COUNTIFS(Results!$A$2:$A$482,A19,Results!$G$2:$G$482,1)</f>
        <v>0</v>
      </c>
      <c r="P19" s="12" t="str">
        <f aca="false">IF(K19="Yes","Training",IF(L19&gt;0,"Results found",IF(AND(B19&lt;&gt;"",B19&gt;Summary!$B$4),"Upcoming","No team result found")))</f>
        <v>Results found</v>
      </c>
      <c r="Q19" s="14" t="s">
        <v>203</v>
      </c>
    </row>
    <row r="20" customFormat="false" ht="15" hidden="false" customHeight="false" outlineLevel="0" collapsed="false">
      <c r="A20" s="12" t="s">
        <v>204</v>
      </c>
      <c r="B20" s="13" t="n">
        <v>46137</v>
      </c>
      <c r="C20" s="13" t="n">
        <v>46138</v>
      </c>
      <c r="D20" s="14" t="s">
        <v>197</v>
      </c>
      <c r="E20" s="12" t="s">
        <v>205</v>
      </c>
      <c r="F20" s="12" t="s">
        <v>57</v>
      </c>
      <c r="G20" s="12" t="s">
        <v>163</v>
      </c>
      <c r="H20" s="12" t="s">
        <v>44</v>
      </c>
      <c r="I20" s="12" t="s">
        <v>143</v>
      </c>
      <c r="J20" s="12" t="s">
        <v>144</v>
      </c>
      <c r="K20" s="12" t="s">
        <v>144</v>
      </c>
      <c r="L20" s="12" t="n">
        <f aca="false">COUNTIF(Results!$A$2:$A$482,A20)</f>
        <v>9</v>
      </c>
      <c r="M20" s="12" t="n">
        <f aca="false">SUMIFS(Results!$M$2:$M$482,Results!$A$2:$A$482,A20)</f>
        <v>5</v>
      </c>
      <c r="N20" s="12" t="n">
        <f aca="false">IF(COUNTIFS(Results!$A$2:$A$482,A20,Results!$G$2:$G$482,"&gt;0")=0,"",_xlfn.MINIFS(Results!$G$2:$G$482,Results!$A$2:$A$482,A20,Results!$G$2:$G$482,"&gt;0"))</f>
        <v>1</v>
      </c>
      <c r="O20" s="12" t="n">
        <f aca="false">COUNTIFS(Results!$A$2:$A$482,A20,Results!$G$2:$G$482,1)</f>
        <v>4</v>
      </c>
      <c r="P20" s="12" t="str">
        <f aca="false">IF(K20="Yes","Training",IF(L20&gt;0,"Results found",IF(AND(B20&lt;&gt;"",B20&gt;Summary!$B$4),"Upcoming","No team result found")))</f>
        <v>Results found</v>
      </c>
      <c r="Q20" s="14" t="s">
        <v>206</v>
      </c>
    </row>
    <row r="21" customFormat="false" ht="15" hidden="false" customHeight="false" outlineLevel="0" collapsed="false">
      <c r="A21" s="12" t="s">
        <v>207</v>
      </c>
      <c r="B21" s="13" t="n">
        <v>46142</v>
      </c>
      <c r="C21" s="13" t="n">
        <v>46145</v>
      </c>
      <c r="D21" s="14" t="s">
        <v>208</v>
      </c>
      <c r="E21" s="12" t="s">
        <v>209</v>
      </c>
      <c r="F21" s="12" t="s">
        <v>98</v>
      </c>
      <c r="G21" s="12" t="s">
        <v>163</v>
      </c>
      <c r="H21" s="12" t="s">
        <v>210</v>
      </c>
      <c r="I21" s="12" t="s">
        <v>143</v>
      </c>
      <c r="J21" s="12" t="s">
        <v>144</v>
      </c>
      <c r="K21" s="12" t="s">
        <v>144</v>
      </c>
      <c r="L21" s="12" t="n">
        <f aca="false">COUNTIF(Results!$A$2:$A$482,A21)</f>
        <v>39</v>
      </c>
      <c r="M21" s="12" t="n">
        <f aca="false">SUMIFS(Results!$M$2:$M$482,Results!$A$2:$A$482,A21)</f>
        <v>6</v>
      </c>
      <c r="N21" s="12" t="n">
        <f aca="false">IF(COUNTIFS(Results!$A$2:$A$482,A21,Results!$G$2:$G$482,"&gt;0")=0,"",_xlfn.MINIFS(Results!$G$2:$G$482,Results!$A$2:$A$482,A21,Results!$G$2:$G$482,"&gt;0"))</f>
        <v>1</v>
      </c>
      <c r="O21" s="12" t="n">
        <f aca="false">COUNTIFS(Results!$A$2:$A$482,A21,Results!$G$2:$G$482,1)</f>
        <v>2</v>
      </c>
      <c r="P21" s="12" t="str">
        <f aca="false">IF(K21="Yes","Training",IF(L21&gt;0,"Results found",IF(AND(B21&lt;&gt;"",B21&gt;Summary!$B$4),"Upcoming","No team result found")))</f>
        <v>Results found</v>
      </c>
      <c r="Q21" s="14"/>
    </row>
    <row r="22" customFormat="false" ht="15" hidden="false" customHeight="false" outlineLevel="0" collapsed="false">
      <c r="A22" s="12" t="s">
        <v>211</v>
      </c>
      <c r="B22" s="13" t="n">
        <v>46145</v>
      </c>
      <c r="C22" s="13" t="n">
        <v>46145</v>
      </c>
      <c r="D22" s="14" t="s">
        <v>212</v>
      </c>
      <c r="E22" s="12" t="s">
        <v>213</v>
      </c>
      <c r="F22" s="12" t="s">
        <v>57</v>
      </c>
      <c r="G22" s="12" t="s">
        <v>163</v>
      </c>
      <c r="H22" s="12" t="s">
        <v>44</v>
      </c>
      <c r="I22" s="12" t="s">
        <v>143</v>
      </c>
      <c r="J22" s="12" t="s">
        <v>144</v>
      </c>
      <c r="K22" s="12" t="s">
        <v>144</v>
      </c>
      <c r="L22" s="12" t="n">
        <f aca="false">COUNTIF(Results!$A$2:$A$482,A22)</f>
        <v>1</v>
      </c>
      <c r="M22" s="12" t="n">
        <f aca="false">SUMIFS(Results!$M$2:$M$482,Results!$A$2:$A$482,A22)</f>
        <v>1</v>
      </c>
      <c r="N22" s="12" t="n">
        <f aca="false">IF(COUNTIFS(Results!$A$2:$A$482,A22,Results!$G$2:$G$482,"&gt;0")=0,"",_xlfn.MINIFS(Results!$G$2:$G$482,Results!$A$2:$A$482,A22,Results!$G$2:$G$482,"&gt;0"))</f>
        <v>1</v>
      </c>
      <c r="O22" s="12" t="n">
        <f aca="false">COUNTIFS(Results!$A$2:$A$482,A22,Results!$G$2:$G$482,1)</f>
        <v>1</v>
      </c>
      <c r="P22" s="12" t="str">
        <f aca="false">IF(K22="Yes","Training",IF(L22&gt;0,"Results found",IF(AND(B22&lt;&gt;"",B22&gt;Summary!$B$4),"Upcoming","No team result found")))</f>
        <v>Results found</v>
      </c>
      <c r="Q22" s="14"/>
    </row>
    <row r="23" customFormat="false" ht="23.85" hidden="false" customHeight="false" outlineLevel="0" collapsed="false">
      <c r="A23" s="12" t="s">
        <v>214</v>
      </c>
      <c r="B23" s="13" t="n">
        <v>46151</v>
      </c>
      <c r="C23" s="13" t="n">
        <v>46152</v>
      </c>
      <c r="D23" s="14" t="s">
        <v>197</v>
      </c>
      <c r="E23" s="12" t="s">
        <v>215</v>
      </c>
      <c r="F23" s="12" t="s">
        <v>57</v>
      </c>
      <c r="G23" s="12" t="s">
        <v>163</v>
      </c>
      <c r="H23" s="12" t="s">
        <v>44</v>
      </c>
      <c r="I23" s="12" t="s">
        <v>143</v>
      </c>
      <c r="J23" s="12" t="s">
        <v>144</v>
      </c>
      <c r="K23" s="12" t="s">
        <v>144</v>
      </c>
      <c r="L23" s="12" t="n">
        <f aca="false">COUNTIF(Results!$A$2:$A$482,A23)</f>
        <v>4</v>
      </c>
      <c r="M23" s="12" t="n">
        <f aca="false">SUMIFS(Results!$M$2:$M$482,Results!$A$2:$A$482,A23)</f>
        <v>2</v>
      </c>
      <c r="N23" s="12" t="n">
        <f aca="false">IF(COUNTIFS(Results!$A$2:$A$482,A23,Results!$G$2:$G$482,"&gt;0")=0,"",_xlfn.MINIFS(Results!$G$2:$G$482,Results!$A$2:$A$482,A23,Results!$G$2:$G$482,"&gt;0"))</f>
        <v>1</v>
      </c>
      <c r="O23" s="12" t="n">
        <f aca="false">COUNTIFS(Results!$A$2:$A$482,A23,Results!$G$2:$G$482,1)</f>
        <v>2</v>
      </c>
      <c r="P23" s="12" t="str">
        <f aca="false">IF(K23="Yes","Training",IF(L23&gt;0,"Results found",IF(AND(B23&lt;&gt;"",B23&gt;Summary!$B$4),"Upcoming","No team result found")))</f>
        <v>Results found</v>
      </c>
      <c r="Q23" s="14" t="s">
        <v>216</v>
      </c>
    </row>
    <row r="24" customFormat="false" ht="23.85" hidden="false" customHeight="false" outlineLevel="0" collapsed="false">
      <c r="A24" s="12" t="s">
        <v>217</v>
      </c>
      <c r="B24" s="13" t="n">
        <v>46152</v>
      </c>
      <c r="C24" s="13" t="n">
        <v>46152</v>
      </c>
      <c r="D24" s="14" t="s">
        <v>218</v>
      </c>
      <c r="E24" s="12"/>
      <c r="F24" s="12" t="s">
        <v>176</v>
      </c>
      <c r="G24" s="12" t="s">
        <v>163</v>
      </c>
      <c r="H24" s="12" t="s">
        <v>177</v>
      </c>
      <c r="I24" s="12" t="s">
        <v>143</v>
      </c>
      <c r="J24" s="12" t="s">
        <v>144</v>
      </c>
      <c r="K24" s="12" t="s">
        <v>144</v>
      </c>
      <c r="L24" s="12" t="n">
        <f aca="false">COUNTIF(Results!$A$2:$A$482,A24)</f>
        <v>0</v>
      </c>
      <c r="M24" s="12" t="n">
        <f aca="false">SUMIFS(Results!$M$2:$M$482,Results!$A$2:$A$482,A24)</f>
        <v>0</v>
      </c>
      <c r="N24" s="12" t="str">
        <f aca="false">IF(COUNTIFS(Results!$A$2:$A$482,A24,Results!$G$2:$G$482,"&gt;0")=0,"",_xlfn.MINIFS(Results!$G$2:$G$482,Results!$A$2:$A$482,A24,Results!$G$2:$G$482,"&gt;0"))</f>
        <v/>
      </c>
      <c r="O24" s="12" t="n">
        <f aca="false">COUNTIFS(Results!$A$2:$A$482,A24,Results!$G$2:$G$482,1)</f>
        <v>0</v>
      </c>
      <c r="P24" s="12" t="str">
        <f aca="false">IF(K24="Yes","Training",IF(L24&gt;0,"Results found",IF(AND(B24&lt;&gt;"",B24&gt;Summary!$B$4),"Upcoming","No team result found")))</f>
        <v>No team result found</v>
      </c>
      <c r="Q24" s="14" t="s">
        <v>219</v>
      </c>
    </row>
    <row r="25" customFormat="false" ht="15" hidden="false" customHeight="false" outlineLevel="0" collapsed="false">
      <c r="A25" s="12" t="s">
        <v>220</v>
      </c>
      <c r="B25" s="13" t="n">
        <v>46152</v>
      </c>
      <c r="C25" s="13" t="n">
        <v>46152</v>
      </c>
      <c r="D25" s="14" t="s">
        <v>221</v>
      </c>
      <c r="E25" s="12" t="s">
        <v>222</v>
      </c>
      <c r="F25" s="12" t="s">
        <v>176</v>
      </c>
      <c r="G25" s="12" t="s">
        <v>163</v>
      </c>
      <c r="H25" s="12" t="s">
        <v>177</v>
      </c>
      <c r="I25" s="12" t="s">
        <v>143</v>
      </c>
      <c r="J25" s="12" t="s">
        <v>144</v>
      </c>
      <c r="K25" s="12" t="s">
        <v>144</v>
      </c>
      <c r="L25" s="12" t="n">
        <f aca="false">COUNTIF(Results!$A$2:$A$482,A25)</f>
        <v>5</v>
      </c>
      <c r="M25" s="12" t="n">
        <f aca="false">SUMIFS(Results!$M$2:$M$482,Results!$A$2:$A$482,A25)</f>
        <v>5</v>
      </c>
      <c r="N25" s="12" t="n">
        <f aca="false">IF(COUNTIFS(Results!$A$2:$A$482,A25,Results!$G$2:$G$482,"&gt;0")=0,"",_xlfn.MINIFS(Results!$G$2:$G$482,Results!$A$2:$A$482,A25,Results!$G$2:$G$482,"&gt;0"))</f>
        <v>9</v>
      </c>
      <c r="O25" s="12" t="n">
        <f aca="false">COUNTIFS(Results!$A$2:$A$482,A25,Results!$G$2:$G$482,1)</f>
        <v>0</v>
      </c>
      <c r="P25" s="12" t="str">
        <f aca="false">IF(K25="Yes","Training",IF(L25&gt;0,"Results found",IF(AND(B25&lt;&gt;"",B25&gt;Summary!$B$4),"Upcoming","No team result found")))</f>
        <v>Results found</v>
      </c>
      <c r="Q25" s="14"/>
    </row>
    <row r="26" customFormat="false" ht="15" hidden="false" customHeight="false" outlineLevel="0" collapsed="false">
      <c r="A26" s="12" t="s">
        <v>223</v>
      </c>
      <c r="B26" s="13" t="n">
        <v>46156</v>
      </c>
      <c r="C26" s="13" t="n">
        <v>46159</v>
      </c>
      <c r="D26" s="14" t="s">
        <v>224</v>
      </c>
      <c r="E26" s="12" t="s">
        <v>225</v>
      </c>
      <c r="F26" s="12" t="s">
        <v>98</v>
      </c>
      <c r="G26" s="12" t="s">
        <v>163</v>
      </c>
      <c r="H26" s="12" t="s">
        <v>210</v>
      </c>
      <c r="I26" s="12" t="s">
        <v>143</v>
      </c>
      <c r="J26" s="12" t="s">
        <v>144</v>
      </c>
      <c r="K26" s="12" t="s">
        <v>144</v>
      </c>
      <c r="L26" s="12" t="n">
        <f aca="false">COUNTIF(Results!$A$2:$A$482,A26)</f>
        <v>30</v>
      </c>
      <c r="M26" s="12" t="n">
        <f aca="false">SUMIFS(Results!$M$2:$M$482,Results!$A$2:$A$482,A26)</f>
        <v>6</v>
      </c>
      <c r="N26" s="12" t="n">
        <f aca="false">IF(COUNTIFS(Results!$A$2:$A$482,A26,Results!$G$2:$G$482,"&gt;0")=0,"",_xlfn.MINIFS(Results!$G$2:$G$482,Results!$A$2:$A$482,A26,Results!$G$2:$G$482,"&gt;0"))</f>
        <v>3</v>
      </c>
      <c r="O26" s="12" t="n">
        <f aca="false">COUNTIFS(Results!$A$2:$A$482,A26,Results!$G$2:$G$482,1)</f>
        <v>0</v>
      </c>
      <c r="P26" s="12" t="str">
        <f aca="false">IF(K26="Yes","Training",IF(L26&gt;0,"Results found",IF(AND(B26&lt;&gt;"",B26&gt;Summary!$B$4),"Upcoming","No team result found")))</f>
        <v>Results found</v>
      </c>
      <c r="Q26" s="14" t="s">
        <v>226</v>
      </c>
    </row>
    <row r="27" customFormat="false" ht="15" hidden="false" customHeight="false" outlineLevel="0" collapsed="false">
      <c r="A27" s="12" t="s">
        <v>227</v>
      </c>
      <c r="B27" s="13" t="n">
        <v>46164</v>
      </c>
      <c r="C27" s="13" t="n">
        <v>46167</v>
      </c>
      <c r="D27" s="14" t="s">
        <v>228</v>
      </c>
      <c r="E27" s="12"/>
      <c r="F27" s="12" t="s">
        <v>229</v>
      </c>
      <c r="G27" s="12" t="s">
        <v>163</v>
      </c>
      <c r="H27" s="12" t="s">
        <v>44</v>
      </c>
      <c r="I27" s="12" t="s">
        <v>143</v>
      </c>
      <c r="J27" s="12" t="s">
        <v>144</v>
      </c>
      <c r="K27" s="12" t="s">
        <v>144</v>
      </c>
      <c r="L27" s="12" t="n">
        <f aca="false">COUNTIF(Results!$A$2:$A$482,A27)</f>
        <v>0</v>
      </c>
      <c r="M27" s="12" t="n">
        <f aca="false">SUMIFS(Results!$M$2:$M$482,Results!$A$2:$A$482,A27)</f>
        <v>0</v>
      </c>
      <c r="N27" s="12" t="str">
        <f aca="false">IF(COUNTIFS(Results!$A$2:$A$482,A27,Results!$G$2:$G$482,"&gt;0")=0,"",_xlfn.MINIFS(Results!$G$2:$G$482,Results!$A$2:$A$482,A27,Results!$G$2:$G$482,"&gt;0"))</f>
        <v/>
      </c>
      <c r="O27" s="12" t="n">
        <f aca="false">COUNTIFS(Results!$A$2:$A$482,A27,Results!$G$2:$G$482,1)</f>
        <v>0</v>
      </c>
      <c r="P27" s="12" t="str">
        <f aca="false">IF(K27="Yes","Training",IF(L27&gt;0,"Results found",IF(AND(B27&lt;&gt;"",B27&gt;Summary!$B$4),"Upcoming","No team result found")))</f>
        <v>No team result found</v>
      </c>
      <c r="Q27" s="14"/>
    </row>
    <row r="28" customFormat="false" ht="15" hidden="false" customHeight="false" outlineLevel="0" collapsed="false">
      <c r="A28" s="12" t="s">
        <v>230</v>
      </c>
      <c r="B28" s="13" t="n">
        <v>46165</v>
      </c>
      <c r="C28" s="13" t="n">
        <v>46166</v>
      </c>
      <c r="D28" s="14" t="s">
        <v>231</v>
      </c>
      <c r="E28" s="12" t="s">
        <v>232</v>
      </c>
      <c r="F28" s="12" t="s">
        <v>57</v>
      </c>
      <c r="G28" s="12" t="s">
        <v>163</v>
      </c>
      <c r="H28" s="12" t="s">
        <v>44</v>
      </c>
      <c r="I28" s="12" t="s">
        <v>143</v>
      </c>
      <c r="J28" s="12" t="s">
        <v>144</v>
      </c>
      <c r="K28" s="12" t="s">
        <v>144</v>
      </c>
      <c r="L28" s="12" t="n">
        <f aca="false">COUNTIF(Results!$A$2:$A$482,A28)</f>
        <v>4</v>
      </c>
      <c r="M28" s="12" t="n">
        <f aca="false">SUMIFS(Results!$M$2:$M$482,Results!$A$2:$A$482,A28)</f>
        <v>3</v>
      </c>
      <c r="N28" s="12" t="n">
        <f aca="false">IF(COUNTIFS(Results!$A$2:$A$482,A28,Results!$G$2:$G$482,"&gt;0")=0,"",_xlfn.MINIFS(Results!$G$2:$G$482,Results!$A$2:$A$482,A28,Results!$G$2:$G$482,"&gt;0"))</f>
        <v>1</v>
      </c>
      <c r="O28" s="12" t="n">
        <f aca="false">COUNTIFS(Results!$A$2:$A$482,A28,Results!$G$2:$G$482,1)</f>
        <v>2</v>
      </c>
      <c r="P28" s="12" t="str">
        <f aca="false">IF(K28="Yes","Training",IF(L28&gt;0,"Results found",IF(AND(B28&lt;&gt;"",B28&gt;Summary!$B$4),"Upcoming","No team result found")))</f>
        <v>Results found</v>
      </c>
      <c r="Q28" s="14"/>
    </row>
    <row r="29" customFormat="false" ht="15" hidden="false" customHeight="false" outlineLevel="0" collapsed="false">
      <c r="A29" s="12" t="s">
        <v>233</v>
      </c>
      <c r="B29" s="13" t="n">
        <v>46172</v>
      </c>
      <c r="C29" s="13" t="n">
        <v>46173</v>
      </c>
      <c r="D29" s="14" t="s">
        <v>197</v>
      </c>
      <c r="E29" s="12" t="s">
        <v>234</v>
      </c>
      <c r="F29" s="12" t="s">
        <v>57</v>
      </c>
      <c r="G29" s="12" t="s">
        <v>163</v>
      </c>
      <c r="H29" s="12" t="s">
        <v>44</v>
      </c>
      <c r="I29" s="12" t="s">
        <v>143</v>
      </c>
      <c r="J29" s="12" t="s">
        <v>144</v>
      </c>
      <c r="K29" s="12" t="s">
        <v>144</v>
      </c>
      <c r="L29" s="12" t="n">
        <f aca="false">COUNTIF(Results!$A$2:$A$482,A29)</f>
        <v>2</v>
      </c>
      <c r="M29" s="12" t="n">
        <f aca="false">SUMIFS(Results!$M$2:$M$482,Results!$A$2:$A$482,A29)</f>
        <v>2</v>
      </c>
      <c r="N29" s="12" t="n">
        <f aca="false">IF(COUNTIFS(Results!$A$2:$A$482,A29,Results!$G$2:$G$482,"&gt;0")=0,"",_xlfn.MINIFS(Results!$G$2:$G$482,Results!$A$2:$A$482,A29,Results!$G$2:$G$482,"&gt;0"))</f>
        <v>1</v>
      </c>
      <c r="O29" s="12" t="n">
        <f aca="false">COUNTIFS(Results!$A$2:$A$482,A29,Results!$G$2:$G$482,1)</f>
        <v>2</v>
      </c>
      <c r="P29" s="12" t="str">
        <f aca="false">IF(K29="Yes","Training",IF(L29&gt;0,"Results found",IF(AND(B29&lt;&gt;"",B29&gt;Summary!$B$4),"Upcoming","No team result found")))</f>
        <v>Results found</v>
      </c>
      <c r="Q29" s="14"/>
    </row>
    <row r="30" customFormat="false" ht="15" hidden="false" customHeight="false" outlineLevel="0" collapsed="false">
      <c r="A30" s="12" t="s">
        <v>235</v>
      </c>
      <c r="B30" s="13" t="n">
        <v>46180</v>
      </c>
      <c r="C30" s="13" t="n">
        <v>46180</v>
      </c>
      <c r="D30" s="14" t="s">
        <v>236</v>
      </c>
      <c r="E30" s="12"/>
      <c r="F30" s="12" t="s">
        <v>176</v>
      </c>
      <c r="G30" s="12" t="s">
        <v>163</v>
      </c>
      <c r="H30" s="12" t="s">
        <v>177</v>
      </c>
      <c r="I30" s="12" t="s">
        <v>143</v>
      </c>
      <c r="J30" s="12" t="s">
        <v>144</v>
      </c>
      <c r="K30" s="12" t="s">
        <v>144</v>
      </c>
      <c r="L30" s="12" t="n">
        <f aca="false">COUNTIF(Results!$A$2:$A$482,A30)</f>
        <v>7</v>
      </c>
      <c r="M30" s="12" t="n">
        <f aca="false">SUMIFS(Results!$M$2:$M$482,Results!$A$2:$A$482,A30)</f>
        <v>7</v>
      </c>
      <c r="N30" s="12" t="n">
        <f aca="false">IF(COUNTIFS(Results!$A$2:$A$482,A30,Results!$G$2:$G$482,"&gt;0")=0,"",_xlfn.MINIFS(Results!$G$2:$G$482,Results!$A$2:$A$482,A30,Results!$G$2:$G$482,"&gt;0"))</f>
        <v>18</v>
      </c>
      <c r="O30" s="12" t="n">
        <f aca="false">COUNTIFS(Results!$A$2:$A$482,A30,Results!$G$2:$G$482,1)</f>
        <v>0</v>
      </c>
      <c r="P30" s="12" t="str">
        <f aca="false">IF(K30="Yes","Training",IF(L30&gt;0,"Results found",IF(AND(B30&lt;&gt;"",B30&gt;Summary!$B$4),"Upcoming","No team result found")))</f>
        <v>Results found</v>
      </c>
      <c r="Q30" s="14"/>
    </row>
    <row r="31" customFormat="false" ht="15" hidden="false" customHeight="false" outlineLevel="0" collapsed="false">
      <c r="A31" s="12" t="s">
        <v>237</v>
      </c>
      <c r="B31" s="13" t="n">
        <v>46186</v>
      </c>
      <c r="C31" s="13" t="n">
        <v>46187</v>
      </c>
      <c r="D31" s="14" t="s">
        <v>197</v>
      </c>
      <c r="E31" s="12" t="s">
        <v>238</v>
      </c>
      <c r="F31" s="12" t="s">
        <v>57</v>
      </c>
      <c r="G31" s="12" t="s">
        <v>163</v>
      </c>
      <c r="H31" s="12" t="s">
        <v>44</v>
      </c>
      <c r="I31" s="12" t="s">
        <v>143</v>
      </c>
      <c r="J31" s="12" t="s">
        <v>144</v>
      </c>
      <c r="K31" s="12" t="s">
        <v>144</v>
      </c>
      <c r="L31" s="12" t="n">
        <f aca="false">COUNTIF(Results!$A$2:$A$482,A31)</f>
        <v>3</v>
      </c>
      <c r="M31" s="12" t="n">
        <f aca="false">SUMIFS(Results!$M$2:$M$482,Results!$A$2:$A$482,A31)</f>
        <v>2</v>
      </c>
      <c r="N31" s="12" t="n">
        <f aca="false">IF(COUNTIFS(Results!$A$2:$A$482,A31,Results!$G$2:$G$482,"&gt;0")=0,"",_xlfn.MINIFS(Results!$G$2:$G$482,Results!$A$2:$A$482,A31,Results!$G$2:$G$482,"&gt;0"))</f>
        <v>1</v>
      </c>
      <c r="O31" s="12" t="n">
        <f aca="false">COUNTIFS(Results!$A$2:$A$482,A31,Results!$G$2:$G$482,1)</f>
        <v>2</v>
      </c>
      <c r="P31" s="12" t="str">
        <f aca="false">IF(K31="Yes","Training",IF(L31&gt;0,"Results found",IF(AND(B31&lt;&gt;"",B31&gt;Summary!$B$4),"Upcoming","No team result found")))</f>
        <v>Results found</v>
      </c>
      <c r="Q31" s="14"/>
    </row>
    <row r="32" customFormat="false" ht="15" hidden="false" customHeight="false" outlineLevel="0" collapsed="false">
      <c r="A32" s="12" t="s">
        <v>239</v>
      </c>
      <c r="B32" s="13" t="n">
        <v>46193</v>
      </c>
      <c r="C32" s="13" t="n">
        <v>46194</v>
      </c>
      <c r="D32" s="14" t="s">
        <v>240</v>
      </c>
      <c r="E32" s="12" t="s">
        <v>241</v>
      </c>
      <c r="F32" s="12" t="s">
        <v>57</v>
      </c>
      <c r="G32" s="12" t="s">
        <v>163</v>
      </c>
      <c r="H32" s="12" t="s">
        <v>44</v>
      </c>
      <c r="I32" s="12" t="s">
        <v>143</v>
      </c>
      <c r="J32" s="12" t="s">
        <v>144</v>
      </c>
      <c r="K32" s="12" t="s">
        <v>144</v>
      </c>
      <c r="L32" s="12" t="n">
        <f aca="false">COUNTIF(Results!$A$2:$A$482,A32)</f>
        <v>0</v>
      </c>
      <c r="M32" s="12" t="n">
        <f aca="false">SUMIFS(Results!$M$2:$M$482,Results!$A$2:$A$482,A32)</f>
        <v>0</v>
      </c>
      <c r="N32" s="12" t="str">
        <f aca="false">IF(COUNTIFS(Results!$A$2:$A$482,A32,Results!$G$2:$G$482,"&gt;0")=0,"",_xlfn.MINIFS(Results!$G$2:$G$482,Results!$A$2:$A$482,A32,Results!$G$2:$G$482,"&gt;0"))</f>
        <v/>
      </c>
      <c r="O32" s="12" t="n">
        <f aca="false">COUNTIFS(Results!$A$2:$A$482,A32,Results!$G$2:$G$482,1)</f>
        <v>0</v>
      </c>
      <c r="P32" s="12" t="str">
        <f aca="false">IF(K32="Yes","Training",IF(L32&gt;0,"Results found",IF(AND(B32&lt;&gt;"",B32&gt;Summary!$B$4),"Upcoming","No team result found")))</f>
        <v>No team result found</v>
      </c>
      <c r="Q32" s="14" t="s">
        <v>242</v>
      </c>
    </row>
    <row r="33" customFormat="false" ht="15" hidden="false" customHeight="false" outlineLevel="0" collapsed="false">
      <c r="A33" s="12" t="s">
        <v>243</v>
      </c>
      <c r="B33" s="13" t="n">
        <v>46194</v>
      </c>
      <c r="C33" s="13" t="n">
        <v>46194</v>
      </c>
      <c r="D33" s="14" t="s">
        <v>244</v>
      </c>
      <c r="E33" s="12"/>
      <c r="F33" s="12" t="s">
        <v>245</v>
      </c>
      <c r="G33" s="12" t="s">
        <v>163</v>
      </c>
      <c r="H33" s="12" t="s">
        <v>190</v>
      </c>
      <c r="I33" s="12" t="s">
        <v>143</v>
      </c>
      <c r="J33" s="12" t="s">
        <v>144</v>
      </c>
      <c r="K33" s="12" t="s">
        <v>144</v>
      </c>
      <c r="L33" s="12" t="n">
        <f aca="false">COUNTIF(Results!$A$2:$A$482,A33)</f>
        <v>6</v>
      </c>
      <c r="M33" s="12" t="n">
        <f aca="false">SUMIFS(Results!$M$2:$M$482,Results!$A$2:$A$482,A33)</f>
        <v>6</v>
      </c>
      <c r="N33" s="12" t="n">
        <f aca="false">IF(COUNTIFS(Results!$A$2:$A$482,A33,Results!$G$2:$G$482,"&gt;0")=0,"",_xlfn.MINIFS(Results!$G$2:$G$482,Results!$A$2:$A$482,A33,Results!$G$2:$G$482,"&gt;0"))</f>
        <v>8</v>
      </c>
      <c r="O33" s="12" t="n">
        <f aca="false">COUNTIFS(Results!$A$2:$A$482,A33,Results!$G$2:$G$482,1)</f>
        <v>0</v>
      </c>
      <c r="P33" s="12" t="str">
        <f aca="false">IF(K33="Yes","Training",IF(L33&gt;0,"Results found",IF(AND(B33&lt;&gt;"",B33&gt;Summary!$B$4),"Upcoming","No team result found")))</f>
        <v>Results found</v>
      </c>
      <c r="Q33" s="14"/>
    </row>
    <row r="34" customFormat="false" ht="15" hidden="false" customHeight="false" outlineLevel="0" collapsed="false">
      <c r="A34" s="12" t="s">
        <v>246</v>
      </c>
      <c r="B34" s="13" t="n">
        <v>46198</v>
      </c>
      <c r="C34" s="13" t="n">
        <v>46202</v>
      </c>
      <c r="D34" s="14" t="s">
        <v>247</v>
      </c>
      <c r="E34" s="12"/>
      <c r="F34" s="12" t="s">
        <v>57</v>
      </c>
      <c r="G34" s="12" t="s">
        <v>163</v>
      </c>
      <c r="H34" s="12" t="s">
        <v>149</v>
      </c>
      <c r="I34" s="12" t="s">
        <v>143</v>
      </c>
      <c r="J34" s="12" t="s">
        <v>143</v>
      </c>
      <c r="K34" s="12" t="s">
        <v>144</v>
      </c>
      <c r="L34" s="12" t="n">
        <f aca="false">COUNTIF(Results!$A$2:$A$482,A34)</f>
        <v>35</v>
      </c>
      <c r="M34" s="12" t="n">
        <f aca="false">SUMIFS(Results!$M$2:$M$482,Results!$A$2:$A$482,A34)</f>
        <v>18</v>
      </c>
      <c r="N34" s="12" t="n">
        <f aca="false">IF(COUNTIFS(Results!$A$2:$A$482,A34,Results!$G$2:$G$482,"&gt;0")=0,"",_xlfn.MINIFS(Results!$G$2:$G$482,Results!$A$2:$A$482,A34,Results!$G$2:$G$482,"&gt;0"))</f>
        <v>1</v>
      </c>
      <c r="O34" s="12" t="n">
        <f aca="false">COUNTIFS(Results!$A$2:$A$482,A34,Results!$G$2:$G$482,1)</f>
        <v>2</v>
      </c>
      <c r="P34" s="12" t="str">
        <f aca="false">IF(K34="Yes","Training",IF(L34&gt;0,"Results found",IF(AND(B34&lt;&gt;"",B34&gt;Summary!$B$4),"Upcoming","No team result found")))</f>
        <v>Results found</v>
      </c>
      <c r="Q34" s="14" t="s">
        <v>248</v>
      </c>
    </row>
    <row r="35" customFormat="false" ht="15" hidden="false" customHeight="false" outlineLevel="0" collapsed="false">
      <c r="A35" s="12" t="s">
        <v>249</v>
      </c>
      <c r="B35" s="13" t="n">
        <v>46210</v>
      </c>
      <c r="C35" s="13" t="n">
        <v>46215</v>
      </c>
      <c r="D35" s="14" t="s">
        <v>250</v>
      </c>
      <c r="E35" s="12" t="s">
        <v>251</v>
      </c>
      <c r="F35" s="12" t="s">
        <v>245</v>
      </c>
      <c r="G35" s="12" t="s">
        <v>154</v>
      </c>
      <c r="H35" s="12" t="s">
        <v>155</v>
      </c>
      <c r="I35" s="12" t="s">
        <v>143</v>
      </c>
      <c r="J35" s="12" t="s">
        <v>144</v>
      </c>
      <c r="K35" s="12" t="s">
        <v>144</v>
      </c>
      <c r="L35" s="12" t="n">
        <f aca="false">COUNTIF(Results!$A$2:$A$482,A35)</f>
        <v>16</v>
      </c>
      <c r="M35" s="12" t="n">
        <f aca="false">SUMIFS(Results!$M$2:$M$482,Results!$A$2:$A$482,A35)</f>
        <v>6</v>
      </c>
      <c r="N35" s="12" t="n">
        <f aca="false">IF(COUNTIFS(Results!$A$2:$A$482,A35,Results!$G$2:$G$482,"&gt;0")=0,"",_xlfn.MINIFS(Results!$G$2:$G$482,Results!$A$2:$A$482,A35,Results!$G$2:$G$482,"&gt;0"))</f>
        <v>3</v>
      </c>
      <c r="O35" s="12" t="n">
        <f aca="false">COUNTIFS(Results!$A$2:$A$482,A35,Results!$G$2:$G$482,1)</f>
        <v>0</v>
      </c>
      <c r="P35" s="12" t="str">
        <f aca="false">IF(K35="Yes","Training",IF(L35&gt;0,"Results found",IF(AND(B35&lt;&gt;"",B35&gt;Summary!$B$4),"Upcoming","No team result found")))</f>
        <v>Results found</v>
      </c>
      <c r="Q35" s="14" t="s">
        <v>156</v>
      </c>
    </row>
    <row r="36" customFormat="false" ht="15" hidden="false" customHeight="false" outlineLevel="0" collapsed="false">
      <c r="A36" s="12" t="s">
        <v>252</v>
      </c>
      <c r="B36" s="13" t="n">
        <v>46214</v>
      </c>
      <c r="C36" s="13" t="n">
        <v>46214</v>
      </c>
      <c r="D36" s="14" t="s">
        <v>253</v>
      </c>
      <c r="E36" s="12"/>
      <c r="F36" s="12" t="s">
        <v>82</v>
      </c>
      <c r="G36" s="12" t="s">
        <v>163</v>
      </c>
      <c r="H36" s="12" t="s">
        <v>169</v>
      </c>
      <c r="I36" s="12" t="s">
        <v>143</v>
      </c>
      <c r="J36" s="12" t="s">
        <v>144</v>
      </c>
      <c r="K36" s="12" t="s">
        <v>144</v>
      </c>
      <c r="L36" s="12" t="n">
        <f aca="false">COUNTIF(Results!$A$2:$A$482,A36)</f>
        <v>6</v>
      </c>
      <c r="M36" s="12" t="n">
        <f aca="false">SUMIFS(Results!$M$2:$M$482,Results!$A$2:$A$482,A36)</f>
        <v>6</v>
      </c>
      <c r="N36" s="12" t="n">
        <f aca="false">IF(COUNTIFS(Results!$A$2:$A$482,A36,Results!$G$2:$G$482,"&gt;0")=0,"",_xlfn.MINIFS(Results!$G$2:$G$482,Results!$A$2:$A$482,A36,Results!$G$2:$G$482,"&gt;0"))</f>
        <v>2</v>
      </c>
      <c r="O36" s="12" t="n">
        <f aca="false">COUNTIFS(Results!$A$2:$A$482,A36,Results!$G$2:$G$482,1)</f>
        <v>0</v>
      </c>
      <c r="P36" s="12" t="str">
        <f aca="false">IF(K36="Yes","Training",IF(L36&gt;0,"Results found",IF(AND(B36&lt;&gt;"",B36&gt;Summary!$B$4),"Upcoming","No team result found")))</f>
        <v>Results found</v>
      </c>
      <c r="Q36" s="14" t="s">
        <v>254</v>
      </c>
    </row>
    <row r="37" customFormat="false" ht="15" hidden="false" customHeight="false" outlineLevel="0" collapsed="false">
      <c r="A37" s="12" t="s">
        <v>255</v>
      </c>
      <c r="B37" s="13" t="n">
        <v>46227</v>
      </c>
      <c r="C37" s="13" t="n">
        <v>46229</v>
      </c>
      <c r="D37" s="14" t="s">
        <v>256</v>
      </c>
      <c r="E37" s="12" t="s">
        <v>257</v>
      </c>
      <c r="F37" s="12" t="s">
        <v>57</v>
      </c>
      <c r="G37" s="12" t="s">
        <v>163</v>
      </c>
      <c r="H37" s="12" t="s">
        <v>258</v>
      </c>
      <c r="I37" s="12" t="s">
        <v>143</v>
      </c>
      <c r="J37" s="12" t="s">
        <v>144</v>
      </c>
      <c r="K37" s="12" t="s">
        <v>144</v>
      </c>
      <c r="L37" s="12" t="n">
        <f aca="false">COUNTIF(Results!$A$2:$A$482,A37)</f>
        <v>24</v>
      </c>
      <c r="M37" s="12" t="n">
        <f aca="false">SUMIFS(Results!$M$2:$M$482,Results!$A$2:$A$482,A37)</f>
        <v>6</v>
      </c>
      <c r="N37" s="12" t="n">
        <f aca="false">IF(COUNTIFS(Results!$A$2:$A$482,A37,Results!$G$2:$G$482,"&gt;0")=0,"",_xlfn.MINIFS(Results!$G$2:$G$482,Results!$A$2:$A$482,A37,Results!$G$2:$G$482,"&gt;0"))</f>
        <v>5</v>
      </c>
      <c r="O37" s="12" t="n">
        <f aca="false">COUNTIFS(Results!$A$2:$A$482,A37,Results!$G$2:$G$482,1)</f>
        <v>0</v>
      </c>
      <c r="P37" s="12" t="str">
        <f aca="false">IF(K37="Yes","Training",IF(L37&gt;0,"Results found",IF(AND(B37&lt;&gt;"",B37&gt;Summary!$B$4),"Upcoming","No team result found")))</f>
        <v>Results found</v>
      </c>
      <c r="Q37" s="14"/>
    </row>
    <row r="38" customFormat="false" ht="15" hidden="false" customHeight="false" outlineLevel="0" collapsed="false">
      <c r="A38" s="12" t="s">
        <v>259</v>
      </c>
      <c r="B38" s="13" t="n">
        <v>46227</v>
      </c>
      <c r="C38" s="13" t="n">
        <v>46229</v>
      </c>
      <c r="D38" s="14" t="s">
        <v>260</v>
      </c>
      <c r="E38" s="12" t="s">
        <v>261</v>
      </c>
      <c r="F38" s="12" t="s">
        <v>183</v>
      </c>
      <c r="G38" s="12" t="s">
        <v>163</v>
      </c>
      <c r="H38" s="12" t="s">
        <v>202</v>
      </c>
      <c r="I38" s="12" t="s">
        <v>143</v>
      </c>
      <c r="J38" s="12" t="s">
        <v>144</v>
      </c>
      <c r="K38" s="12" t="s">
        <v>144</v>
      </c>
      <c r="L38" s="12" t="n">
        <f aca="false">COUNTIF(Results!$A$2:$A$482,A38)</f>
        <v>21</v>
      </c>
      <c r="M38" s="12" t="n">
        <f aca="false">SUMIFS(Results!$M$2:$M$482,Results!$A$2:$A$482,A38)</f>
        <v>6</v>
      </c>
      <c r="N38" s="12" t="n">
        <f aca="false">IF(COUNTIFS(Results!$A$2:$A$482,A38,Results!$G$2:$G$482,"&gt;0")=0,"",_xlfn.MINIFS(Results!$G$2:$G$482,Results!$A$2:$A$482,A38,Results!$G$2:$G$482,"&gt;0"))</f>
        <v>8</v>
      </c>
      <c r="O38" s="12" t="n">
        <f aca="false">COUNTIFS(Results!$A$2:$A$482,A38,Results!$G$2:$G$482,1)</f>
        <v>0</v>
      </c>
      <c r="P38" s="12" t="str">
        <f aca="false">IF(K38="Yes","Training",IF(L38&gt;0,"Results found",IF(AND(B38&lt;&gt;"",B38&gt;Summary!$B$4),"Upcoming","No team result found")))</f>
        <v>Results found</v>
      </c>
      <c r="Q38" s="14" t="s">
        <v>203</v>
      </c>
    </row>
    <row r="39" customFormat="false" ht="15" hidden="false" customHeight="false" outlineLevel="0" collapsed="false">
      <c r="A39" s="12" t="s">
        <v>262</v>
      </c>
      <c r="B39" s="13" t="n">
        <v>46234</v>
      </c>
      <c r="C39" s="13" t="n">
        <v>46234</v>
      </c>
      <c r="D39" s="14" t="s">
        <v>263</v>
      </c>
      <c r="E39" s="12" t="s">
        <v>264</v>
      </c>
      <c r="F39" s="12" t="s">
        <v>57</v>
      </c>
      <c r="G39" s="12" t="s">
        <v>163</v>
      </c>
      <c r="H39" s="12" t="s">
        <v>44</v>
      </c>
      <c r="I39" s="12" t="s">
        <v>143</v>
      </c>
      <c r="J39" s="12" t="s">
        <v>144</v>
      </c>
      <c r="K39" s="12" t="s">
        <v>144</v>
      </c>
      <c r="L39" s="12" t="n">
        <f aca="false">COUNTIF(Results!$A$2:$A$482,A39)</f>
        <v>5</v>
      </c>
      <c r="M39" s="12" t="n">
        <f aca="false">SUMIFS(Results!$M$2:$M$482,Results!$A$2:$A$482,A39)</f>
        <v>5</v>
      </c>
      <c r="N39" s="12" t="n">
        <f aca="false">IF(COUNTIFS(Results!$A$2:$A$482,A39,Results!$G$2:$G$482,"&gt;0")=0,"",_xlfn.MINIFS(Results!$G$2:$G$482,Results!$A$2:$A$482,A39,Results!$G$2:$G$482,"&gt;0"))</f>
        <v>1</v>
      </c>
      <c r="O39" s="12" t="n">
        <f aca="false">COUNTIFS(Results!$A$2:$A$482,A39,Results!$G$2:$G$482,1)</f>
        <v>1</v>
      </c>
      <c r="P39" s="12" t="str">
        <f aca="false">IF(K39="Yes","Training",IF(L39&gt;0,"Results found",IF(AND(B39&lt;&gt;"",B39&gt;Summary!$B$4),"Upcoming","No team result found")))</f>
        <v>Results found</v>
      </c>
      <c r="Q39" s="14" t="s">
        <v>265</v>
      </c>
    </row>
    <row r="40" customFormat="false" ht="15" hidden="false" customHeight="false" outlineLevel="0" collapsed="false">
      <c r="A40" s="12" t="s">
        <v>266</v>
      </c>
      <c r="B40" s="13" t="n">
        <v>46235</v>
      </c>
      <c r="C40" s="13" t="n">
        <v>46235</v>
      </c>
      <c r="D40" s="14" t="s">
        <v>267</v>
      </c>
      <c r="E40" s="12" t="s">
        <v>268</v>
      </c>
      <c r="F40" s="12" t="s">
        <v>57</v>
      </c>
      <c r="G40" s="12" t="s">
        <v>163</v>
      </c>
      <c r="H40" s="12" t="s">
        <v>44</v>
      </c>
      <c r="I40" s="12" t="s">
        <v>143</v>
      </c>
      <c r="J40" s="12" t="s">
        <v>144</v>
      </c>
      <c r="K40" s="12" t="s">
        <v>144</v>
      </c>
      <c r="L40" s="12" t="n">
        <f aca="false">COUNTIF(Results!$A$2:$A$482,A40)</f>
        <v>4</v>
      </c>
      <c r="M40" s="12" t="n">
        <f aca="false">SUMIFS(Results!$M$2:$M$482,Results!$A$2:$A$482,A40)</f>
        <v>4</v>
      </c>
      <c r="N40" s="12" t="n">
        <f aca="false">IF(COUNTIFS(Results!$A$2:$A$482,A40,Results!$G$2:$G$482,"&gt;0")=0,"",_xlfn.MINIFS(Results!$G$2:$G$482,Results!$A$2:$A$482,A40,Results!$G$2:$G$482,"&gt;0"))</f>
        <v>1</v>
      </c>
      <c r="O40" s="12" t="n">
        <f aca="false">COUNTIFS(Results!$A$2:$A$482,A40,Results!$G$2:$G$482,1)</f>
        <v>2</v>
      </c>
      <c r="P40" s="12" t="str">
        <f aca="false">IF(K40="Yes","Training",IF(L40&gt;0,"Results found",IF(AND(B40&lt;&gt;"",B40&gt;Summary!$B$4),"Upcoming","No team result found")))</f>
        <v>Results found</v>
      </c>
      <c r="Q40" s="14" t="s">
        <v>269</v>
      </c>
    </row>
    <row r="41" customFormat="false" ht="15" hidden="false" customHeight="false" outlineLevel="0" collapsed="false">
      <c r="A41" s="12" t="s">
        <v>270</v>
      </c>
      <c r="B41" s="13" t="n">
        <v>46238</v>
      </c>
      <c r="C41" s="13" t="n">
        <v>46241</v>
      </c>
      <c r="D41" s="14" t="s">
        <v>271</v>
      </c>
      <c r="E41" s="12" t="s">
        <v>159</v>
      </c>
      <c r="F41" s="12" t="s">
        <v>57</v>
      </c>
      <c r="G41" s="12" t="s">
        <v>154</v>
      </c>
      <c r="H41" s="12" t="s">
        <v>149</v>
      </c>
      <c r="I41" s="12" t="s">
        <v>143</v>
      </c>
      <c r="J41" s="12" t="s">
        <v>143</v>
      </c>
      <c r="K41" s="12" t="s">
        <v>144</v>
      </c>
      <c r="L41" s="12" t="n">
        <f aca="false">COUNTIF(Results!$A$2:$A$482,A41)</f>
        <v>25</v>
      </c>
      <c r="M41" s="12" t="n">
        <f aca="false">SUMIFS(Results!$M$2:$M$482,Results!$A$2:$A$482,A41)</f>
        <v>9</v>
      </c>
      <c r="N41" s="12" t="n">
        <f aca="false">IF(COUNTIFS(Results!$A$2:$A$482,A41,Results!$G$2:$G$482,"&gt;0")=0,"",_xlfn.MINIFS(Results!$G$2:$G$482,Results!$A$2:$A$482,A41,Results!$G$2:$G$482,"&gt;0"))</f>
        <v>1</v>
      </c>
      <c r="O41" s="12" t="n">
        <f aca="false">COUNTIFS(Results!$A$2:$A$482,A41,Results!$G$2:$G$482,1)</f>
        <v>12</v>
      </c>
      <c r="P41" s="12" t="str">
        <f aca="false">IF(K41="Yes","Training",IF(L41&gt;0,"Results found",IF(AND(B41&lt;&gt;"",B41&gt;Summary!$B$4),"Upcoming","No team result found")))</f>
        <v>Results found</v>
      </c>
      <c r="Q41" s="14" t="s">
        <v>272</v>
      </c>
    </row>
    <row r="42" customFormat="false" ht="15" hidden="false" customHeight="false" outlineLevel="0" collapsed="false">
      <c r="A42" s="12" t="s">
        <v>273</v>
      </c>
      <c r="B42" s="13" t="n">
        <v>46248</v>
      </c>
      <c r="C42" s="13" t="n">
        <v>46250</v>
      </c>
      <c r="D42" s="14" t="s">
        <v>274</v>
      </c>
      <c r="E42" s="12"/>
      <c r="F42" s="12" t="s">
        <v>57</v>
      </c>
      <c r="G42" s="12" t="s">
        <v>163</v>
      </c>
      <c r="H42" s="12" t="s">
        <v>44</v>
      </c>
      <c r="I42" s="12" t="s">
        <v>143</v>
      </c>
      <c r="J42" s="12" t="s">
        <v>144</v>
      </c>
      <c r="K42" s="12" t="s">
        <v>144</v>
      </c>
      <c r="L42" s="12" t="n">
        <f aca="false">COUNTIF(Results!$A$2:$A$482,A42)</f>
        <v>13</v>
      </c>
      <c r="M42" s="12" t="n">
        <f aca="false">SUMIFS(Results!$M$2:$M$482,Results!$A$2:$A$482,A42)</f>
        <v>4</v>
      </c>
      <c r="N42" s="12" t="n">
        <f aca="false">IF(COUNTIFS(Results!$A$2:$A$482,A42,Results!$G$2:$G$482,"&gt;0")=0,"",_xlfn.MINIFS(Results!$G$2:$G$482,Results!$A$2:$A$482,A42,Results!$G$2:$G$482,"&gt;0"))</f>
        <v>1</v>
      </c>
      <c r="O42" s="12" t="n">
        <f aca="false">COUNTIFS(Results!$A$2:$A$482,A42,Results!$G$2:$G$482,1)</f>
        <v>8</v>
      </c>
      <c r="P42" s="12" t="str">
        <f aca="false">IF(K42="Yes","Training",IF(L42&gt;0,"Results found",IF(AND(B42&lt;&gt;"",B42&gt;Summary!$B$4),"Upcoming","No team result found")))</f>
        <v>Results found</v>
      </c>
      <c r="Q42" s="14" t="s">
        <v>275</v>
      </c>
    </row>
    <row r="43" customFormat="false" ht="15" hidden="false" customHeight="false" outlineLevel="0" collapsed="false">
      <c r="A43" s="12" t="s">
        <v>276</v>
      </c>
      <c r="B43" s="13" t="n">
        <v>46252</v>
      </c>
      <c r="C43" s="13" t="n">
        <v>46252</v>
      </c>
      <c r="D43" s="14" t="s">
        <v>277</v>
      </c>
      <c r="E43" s="12" t="s">
        <v>278</v>
      </c>
      <c r="F43" s="12" t="s">
        <v>176</v>
      </c>
      <c r="G43" s="12" t="s">
        <v>163</v>
      </c>
      <c r="H43" s="12" t="s">
        <v>177</v>
      </c>
      <c r="I43" s="12" t="s">
        <v>143</v>
      </c>
      <c r="J43" s="12" t="s">
        <v>144</v>
      </c>
      <c r="K43" s="12" t="s">
        <v>144</v>
      </c>
      <c r="L43" s="12" t="n">
        <f aca="false">COUNTIF(Results!$A$2:$A$482,A43)</f>
        <v>0</v>
      </c>
      <c r="M43" s="12" t="n">
        <f aca="false">SUMIFS(Results!$M$2:$M$482,Results!$A$2:$A$482,A43)</f>
        <v>0</v>
      </c>
      <c r="N43" s="12" t="str">
        <f aca="false">IF(COUNTIFS(Results!$A$2:$A$482,A43,Results!$G$2:$G$482,"&gt;0")=0,"",_xlfn.MINIFS(Results!$G$2:$G$482,Results!$A$2:$A$482,A43,Results!$G$2:$G$482,"&gt;0"))</f>
        <v/>
      </c>
      <c r="O43" s="12" t="n">
        <f aca="false">COUNTIFS(Results!$A$2:$A$482,A43,Results!$G$2:$G$482,1)</f>
        <v>0</v>
      </c>
      <c r="P43" s="12" t="str">
        <f aca="false">IF(K43="Yes","Training",IF(L43&gt;0,"Results found",IF(AND(B43&lt;&gt;"",B43&gt;Summary!$B$4),"Upcoming","No team result found")))</f>
        <v>No team result found</v>
      </c>
      <c r="Q43" s="14"/>
    </row>
    <row r="44" customFormat="false" ht="15" hidden="false" customHeight="false" outlineLevel="0" collapsed="false">
      <c r="A44" s="12" t="s">
        <v>279</v>
      </c>
      <c r="B44" s="13" t="n">
        <v>46261</v>
      </c>
      <c r="C44" s="13" t="n">
        <v>46264</v>
      </c>
      <c r="D44" s="14" t="s">
        <v>280</v>
      </c>
      <c r="E44" s="12"/>
      <c r="F44" s="12" t="s">
        <v>281</v>
      </c>
      <c r="G44" s="12" t="s">
        <v>163</v>
      </c>
      <c r="H44" s="12" t="s">
        <v>210</v>
      </c>
      <c r="I44" s="12" t="s">
        <v>143</v>
      </c>
      <c r="J44" s="12" t="s">
        <v>144</v>
      </c>
      <c r="K44" s="12" t="s">
        <v>144</v>
      </c>
      <c r="L44" s="12" t="n">
        <f aca="false">COUNTIF(Results!$A$2:$A$482,A44)</f>
        <v>0</v>
      </c>
      <c r="M44" s="12" t="n">
        <f aca="false">SUMIFS(Results!$M$2:$M$482,Results!$A$2:$A$482,A44)</f>
        <v>0</v>
      </c>
      <c r="N44" s="12" t="str">
        <f aca="false">IF(COUNTIFS(Results!$A$2:$A$482,A44,Results!$G$2:$G$482,"&gt;0")=0,"",_xlfn.MINIFS(Results!$G$2:$G$482,Results!$A$2:$A$482,A44,Results!$G$2:$G$482,"&gt;0"))</f>
        <v/>
      </c>
      <c r="O44" s="12" t="n">
        <f aca="false">COUNTIFS(Results!$A$2:$A$482,A44,Results!$G$2:$G$482,1)</f>
        <v>0</v>
      </c>
      <c r="P44" s="12" t="str">
        <f aca="false">IF(K44="Yes","Training",IF(L44&gt;0,"Results found",IF(AND(B44&lt;&gt;"",B44&gt;Summary!$B$4),"Upcoming","No team result found")))</f>
        <v>No team result found</v>
      </c>
      <c r="Q44" s="14"/>
    </row>
    <row r="45" customFormat="false" ht="23.85" hidden="false" customHeight="false" outlineLevel="0" collapsed="false">
      <c r="A45" s="12" t="s">
        <v>282</v>
      </c>
      <c r="B45" s="13" t="n">
        <v>46263</v>
      </c>
      <c r="C45" s="13" t="n">
        <v>46264</v>
      </c>
      <c r="D45" s="14" t="s">
        <v>283</v>
      </c>
      <c r="E45" s="12"/>
      <c r="F45" s="12" t="s">
        <v>57</v>
      </c>
      <c r="G45" s="12" t="s">
        <v>163</v>
      </c>
      <c r="H45" s="12" t="s">
        <v>149</v>
      </c>
      <c r="I45" s="12" t="s">
        <v>143</v>
      </c>
      <c r="J45" s="12" t="s">
        <v>143</v>
      </c>
      <c r="K45" s="12" t="s">
        <v>144</v>
      </c>
      <c r="L45" s="12" t="n">
        <f aca="false">COUNTIF(Results!$A$2:$A$482,A45)</f>
        <v>5</v>
      </c>
      <c r="M45" s="12" t="n">
        <f aca="false">SUMIFS(Results!$M$2:$M$482,Results!$A$2:$A$482,A45)</f>
        <v>4</v>
      </c>
      <c r="N45" s="12" t="n">
        <f aca="false">IF(COUNTIFS(Results!$A$2:$A$482,A45,Results!$G$2:$G$482,"&gt;0")=0,"",_xlfn.MINIFS(Results!$G$2:$G$482,Results!$A$2:$A$482,A45,Results!$G$2:$G$482,"&gt;0"))</f>
        <v>1</v>
      </c>
      <c r="O45" s="12" t="n">
        <f aca="false">COUNTIFS(Results!$A$2:$A$482,A45,Results!$G$2:$G$482,1)</f>
        <v>2</v>
      </c>
      <c r="P45" s="12" t="str">
        <f aca="false">IF(K45="Yes","Training",IF(L45&gt;0,"Results found",IF(AND(B45&lt;&gt;"",B45&gt;Summary!$B$4),"Upcoming","No team result found")))</f>
        <v>Results found</v>
      </c>
      <c r="Q45" s="14" t="s">
        <v>284</v>
      </c>
    </row>
    <row r="46" customFormat="false" ht="15" hidden="false" customHeight="false" outlineLevel="0" collapsed="false">
      <c r="A46" s="12" t="s">
        <v>285</v>
      </c>
      <c r="B46" s="13" t="n">
        <v>46271</v>
      </c>
      <c r="C46" s="13" t="n">
        <v>46271</v>
      </c>
      <c r="D46" s="14" t="s">
        <v>286</v>
      </c>
      <c r="E46" s="12" t="s">
        <v>287</v>
      </c>
      <c r="F46" s="12" t="s">
        <v>57</v>
      </c>
      <c r="G46" s="12" t="s">
        <v>163</v>
      </c>
      <c r="H46" s="12" t="s">
        <v>44</v>
      </c>
      <c r="I46" s="12" t="s">
        <v>143</v>
      </c>
      <c r="J46" s="12" t="s">
        <v>144</v>
      </c>
      <c r="K46" s="12" t="s">
        <v>144</v>
      </c>
      <c r="L46" s="12" t="n">
        <f aca="false">COUNTIF(Results!$A$2:$A$482,A46)</f>
        <v>7</v>
      </c>
      <c r="M46" s="12" t="n">
        <f aca="false">SUMIFS(Results!$M$2:$M$482,Results!$A$2:$A$482,A46)</f>
        <v>5</v>
      </c>
      <c r="N46" s="12" t="n">
        <f aca="false">IF(COUNTIFS(Results!$A$2:$A$482,A46,Results!$G$2:$G$482,"&gt;0")=0,"",_xlfn.MINIFS(Results!$G$2:$G$482,Results!$A$2:$A$482,A46,Results!$G$2:$G$482,"&gt;0"))</f>
        <v>1</v>
      </c>
      <c r="O46" s="12" t="n">
        <f aca="false">COUNTIFS(Results!$A$2:$A$482,A46,Results!$G$2:$G$482,1)</f>
        <v>3</v>
      </c>
      <c r="P46" s="12" t="str">
        <f aca="false">IF(K46="Yes","Training",IF(L46&gt;0,"Results found",IF(AND(B46&lt;&gt;"",B46&gt;Summary!$B$4),"Upcoming","No team result found")))</f>
        <v>Results found</v>
      </c>
      <c r="Q46" s="14" t="s">
        <v>288</v>
      </c>
    </row>
    <row r="47" customFormat="false" ht="15" hidden="false" customHeight="false" outlineLevel="0" collapsed="false">
      <c r="A47" s="12" t="s">
        <v>289</v>
      </c>
      <c r="B47" s="13" t="n">
        <v>46277</v>
      </c>
      <c r="C47" s="13" t="n">
        <v>46278</v>
      </c>
      <c r="D47" s="14" t="s">
        <v>290</v>
      </c>
      <c r="E47" s="12"/>
      <c r="F47" s="12" t="s">
        <v>57</v>
      </c>
      <c r="G47" s="12" t="s">
        <v>291</v>
      </c>
      <c r="H47" s="12" t="s">
        <v>149</v>
      </c>
      <c r="I47" s="12" t="s">
        <v>143</v>
      </c>
      <c r="J47" s="12" t="s">
        <v>143</v>
      </c>
      <c r="K47" s="12" t="s">
        <v>144</v>
      </c>
      <c r="L47" s="12" t="n">
        <f aca="false">COUNTIF(Results!$A$2:$A$482,A47)</f>
        <v>34</v>
      </c>
      <c r="M47" s="12" t="n">
        <f aca="false">SUMIFS(Results!$M$2:$M$482,Results!$A$2:$A$482,A47)</f>
        <v>12</v>
      </c>
      <c r="N47" s="12" t="n">
        <f aca="false">IF(COUNTIFS(Results!$A$2:$A$482,A47,Results!$G$2:$G$482,"&gt;0")=0,"",_xlfn.MINIFS(Results!$G$2:$G$482,Results!$A$2:$A$482,A47,Results!$G$2:$G$482,"&gt;0"))</f>
        <v>1</v>
      </c>
      <c r="O47" s="12" t="n">
        <f aca="false">COUNTIFS(Results!$A$2:$A$482,A47,Results!$G$2:$G$482,1)</f>
        <v>18</v>
      </c>
      <c r="P47" s="12" t="str">
        <f aca="false">IF(K47="Yes","Training",IF(L47&gt;0,"Results found",IF(AND(B47&lt;&gt;"",B47&gt;Summary!$B$4),"Upcoming","No team result found")))</f>
        <v>Results found</v>
      </c>
      <c r="Q47" s="14" t="s">
        <v>292</v>
      </c>
    </row>
    <row r="48" customFormat="false" ht="15" hidden="false" customHeight="false" outlineLevel="0" collapsed="false">
      <c r="A48" s="12" t="s">
        <v>293</v>
      </c>
      <c r="B48" s="13" t="n">
        <v>46284</v>
      </c>
      <c r="C48" s="13" t="n">
        <v>46284</v>
      </c>
      <c r="D48" s="14" t="s">
        <v>294</v>
      </c>
      <c r="E48" s="12" t="s">
        <v>295</v>
      </c>
      <c r="F48" s="12" t="s">
        <v>57</v>
      </c>
      <c r="G48" s="12" t="s">
        <v>163</v>
      </c>
      <c r="H48" s="12" t="s">
        <v>44</v>
      </c>
      <c r="I48" s="12" t="s">
        <v>143</v>
      </c>
      <c r="J48" s="12" t="s">
        <v>144</v>
      </c>
      <c r="K48" s="12" t="s">
        <v>144</v>
      </c>
      <c r="L48" s="12" t="n">
        <f aca="false">COUNTIF(Results!$A$2:$A$482,A48)</f>
        <v>0</v>
      </c>
      <c r="M48" s="12" t="n">
        <f aca="false">SUMIFS(Results!$M$2:$M$482,Results!$A$2:$A$482,A48)</f>
        <v>0</v>
      </c>
      <c r="N48" s="12" t="str">
        <f aca="false">IF(COUNTIFS(Results!$A$2:$A$482,A48,Results!$G$2:$G$482,"&gt;0")=0,"",_xlfn.MINIFS(Results!$G$2:$G$482,Results!$A$2:$A$482,A48,Results!$G$2:$G$482,"&gt;0"))</f>
        <v/>
      </c>
      <c r="O48" s="12" t="n">
        <f aca="false">COUNTIFS(Results!$A$2:$A$482,A48,Results!$G$2:$G$482,1)</f>
        <v>0</v>
      </c>
      <c r="P48" s="12" t="str">
        <f aca="false">IF(K48="Yes","Training",IF(L48&gt;0,"Results found",IF(AND(B48&lt;&gt;"",B48&gt;Summary!$B$4),"Upcoming","No team result found")))</f>
        <v>No team result found</v>
      </c>
      <c r="Q48" s="14"/>
    </row>
    <row r="49" customFormat="false" ht="23.85" hidden="false" customHeight="false" outlineLevel="0" collapsed="false">
      <c r="A49" s="12" t="s">
        <v>296</v>
      </c>
      <c r="B49" s="13" t="n">
        <v>46285</v>
      </c>
      <c r="C49" s="13" t="n">
        <v>46285</v>
      </c>
      <c r="D49" s="14" t="s">
        <v>297</v>
      </c>
      <c r="E49" s="12" t="s">
        <v>298</v>
      </c>
      <c r="F49" s="12" t="s">
        <v>57</v>
      </c>
      <c r="G49" s="12" t="s">
        <v>163</v>
      </c>
      <c r="H49" s="12" t="s">
        <v>149</v>
      </c>
      <c r="I49" s="12" t="s">
        <v>143</v>
      </c>
      <c r="J49" s="12" t="s">
        <v>143</v>
      </c>
      <c r="K49" s="12" t="s">
        <v>144</v>
      </c>
      <c r="L49" s="12" t="n">
        <f aca="false">COUNTIF(Results!$A$2:$A$482,A49)</f>
        <v>7</v>
      </c>
      <c r="M49" s="12" t="n">
        <f aca="false">SUMIFS(Results!$M$2:$M$482,Results!$A$2:$A$482,A49)</f>
        <v>6</v>
      </c>
      <c r="N49" s="12" t="n">
        <f aca="false">IF(COUNTIFS(Results!$A$2:$A$482,A49,Results!$G$2:$G$482,"&gt;0")=0,"",_xlfn.MINIFS(Results!$G$2:$G$482,Results!$A$2:$A$482,A49,Results!$G$2:$G$482,"&gt;0"))</f>
        <v>1</v>
      </c>
      <c r="O49" s="12" t="n">
        <f aca="false">COUNTIFS(Results!$A$2:$A$482,A49,Results!$G$2:$G$482,1)</f>
        <v>3</v>
      </c>
      <c r="P49" s="12" t="str">
        <f aca="false">IF(K49="Yes","Training",IF(L49&gt;0,"Results found",IF(AND(B49&lt;&gt;"",B49&gt;Summary!$B$4),"Upcoming","No team result found")))</f>
        <v>Results found</v>
      </c>
      <c r="Q49" s="14" t="s">
        <v>299</v>
      </c>
    </row>
    <row r="50" customFormat="false" ht="15" hidden="false" customHeight="false" outlineLevel="0" collapsed="false">
      <c r="A50" s="12" t="s">
        <v>300</v>
      </c>
      <c r="B50" s="13" t="n">
        <v>46298</v>
      </c>
      <c r="C50" s="13" t="n">
        <v>46302</v>
      </c>
      <c r="D50" s="14" t="s">
        <v>301</v>
      </c>
      <c r="E50" s="12" t="s">
        <v>302</v>
      </c>
      <c r="F50" s="12" t="s">
        <v>303</v>
      </c>
      <c r="G50" s="12" t="s">
        <v>163</v>
      </c>
      <c r="H50" s="12" t="s">
        <v>155</v>
      </c>
      <c r="I50" s="12" t="s">
        <v>143</v>
      </c>
      <c r="J50" s="12" t="s">
        <v>144</v>
      </c>
      <c r="K50" s="12" t="s">
        <v>144</v>
      </c>
      <c r="L50" s="12" t="n">
        <f aca="false">COUNTIF(Results!$A$2:$A$482,A50)</f>
        <v>0</v>
      </c>
      <c r="M50" s="12" t="n">
        <f aca="false">SUMIFS(Results!$M$2:$M$482,Results!$A$2:$A$482,A50)</f>
        <v>0</v>
      </c>
      <c r="N50" s="12" t="str">
        <f aca="false">IF(COUNTIFS(Results!$A$2:$A$482,A50,Results!$G$2:$G$482,"&gt;0")=0,"",_xlfn.MINIFS(Results!$G$2:$G$482,Results!$A$2:$A$482,A50,Results!$G$2:$G$482,"&gt;0"))</f>
        <v/>
      </c>
      <c r="O50" s="12" t="n">
        <f aca="false">COUNTIFS(Results!$A$2:$A$482,A50,Results!$G$2:$G$482,1)</f>
        <v>0</v>
      </c>
      <c r="P50" s="12" t="str">
        <f aca="false">IF(K50="Yes","Training",IF(L50&gt;0,"Results found",IF(AND(B50&lt;&gt;"",B50&gt;Summary!$B$4),"Upcoming","No team result found")))</f>
        <v>Upcoming</v>
      </c>
      <c r="Q50" s="14"/>
    </row>
    <row r="51" customFormat="false" ht="15" hidden="false" customHeight="false" outlineLevel="0" collapsed="false">
      <c r="A51" s="12" t="s">
        <v>304</v>
      </c>
      <c r="B51" s="13" t="n">
        <v>46318</v>
      </c>
      <c r="C51" s="13" t="n">
        <v>46320</v>
      </c>
      <c r="D51" s="14" t="s">
        <v>305</v>
      </c>
      <c r="E51" s="12"/>
      <c r="F51" s="12" t="s">
        <v>57</v>
      </c>
      <c r="G51" s="12" t="s">
        <v>154</v>
      </c>
      <c r="H51" s="12" t="s">
        <v>149</v>
      </c>
      <c r="I51" s="12" t="s">
        <v>143</v>
      </c>
      <c r="J51" s="12" t="s">
        <v>143</v>
      </c>
      <c r="K51" s="12" t="s">
        <v>144</v>
      </c>
      <c r="L51" s="12" t="n">
        <f aca="false">COUNTIF(Results!$A$2:$A$482,A51)</f>
        <v>0</v>
      </c>
      <c r="M51" s="12" t="n">
        <f aca="false">SUMIFS(Results!$M$2:$M$482,Results!$A$2:$A$482,A51)</f>
        <v>0</v>
      </c>
      <c r="N51" s="12" t="str">
        <f aca="false">IF(COUNTIFS(Results!$A$2:$A$482,A51,Results!$G$2:$G$482,"&gt;0")=0,"",_xlfn.MINIFS(Results!$G$2:$G$482,Results!$A$2:$A$482,A51,Results!$G$2:$G$482,"&gt;0"))</f>
        <v/>
      </c>
      <c r="O51" s="12" t="n">
        <f aca="false">COUNTIFS(Results!$A$2:$A$482,A51,Results!$G$2:$G$482,1)</f>
        <v>0</v>
      </c>
      <c r="P51" s="12" t="str">
        <f aca="false">IF(K51="Yes","Training",IF(L51&gt;0,"Results found",IF(AND(B51&lt;&gt;"",B51&gt;Summary!$B$4),"Upcoming","No team result found")))</f>
        <v>Upcoming</v>
      </c>
      <c r="Q51" s="14"/>
    </row>
    <row r="52" customFormat="false" ht="23.85" hidden="false" customHeight="false" outlineLevel="0" collapsed="false">
      <c r="A52" s="12" t="s">
        <v>306</v>
      </c>
      <c r="B52" s="13" t="n">
        <v>46096</v>
      </c>
      <c r="C52" s="13" t="n">
        <v>46096</v>
      </c>
      <c r="D52" s="14" t="s">
        <v>307</v>
      </c>
      <c r="E52" s="12" t="s">
        <v>308</v>
      </c>
      <c r="F52" s="12" t="s">
        <v>281</v>
      </c>
      <c r="G52" s="12" t="s">
        <v>163</v>
      </c>
      <c r="H52" s="12" t="s">
        <v>309</v>
      </c>
      <c r="I52" s="12" t="s">
        <v>144</v>
      </c>
      <c r="J52" s="12" t="s">
        <v>144</v>
      </c>
      <c r="K52" s="12" t="s">
        <v>144</v>
      </c>
      <c r="L52" s="12" t="n">
        <f aca="false">COUNTIF(Results!$A$2:$A$482,A52)</f>
        <v>5</v>
      </c>
      <c r="M52" s="12" t="n">
        <f aca="false">SUMIFS(Results!$M$2:$M$482,Results!$A$2:$A$482,A52)</f>
        <v>5</v>
      </c>
      <c r="N52" s="12" t="n">
        <f aca="false">IF(COUNTIFS(Results!$A$2:$A$482,A52,Results!$G$2:$G$482,"&gt;0")=0,"",_xlfn.MINIFS(Results!$G$2:$G$482,Results!$A$2:$A$482,A52,Results!$G$2:$G$482,"&gt;0"))</f>
        <v>43</v>
      </c>
      <c r="O52" s="12" t="n">
        <f aca="false">COUNTIFS(Results!$A$2:$A$482,A52,Results!$G$2:$G$482,1)</f>
        <v>0</v>
      </c>
      <c r="P52" s="12" t="str">
        <f aca="false">IF(K52="Yes","Training",IF(L52&gt;0,"Results found",IF(AND(B52&lt;&gt;"",B52&gt;Summary!$B$4),"Upcoming","No team result found")))</f>
        <v>Results found</v>
      </c>
      <c r="Q52" s="14"/>
    </row>
    <row r="53" customFormat="false" ht="15" hidden="false" customHeight="false" outlineLevel="0" collapsed="false">
      <c r="A53" s="12" t="s">
        <v>310</v>
      </c>
      <c r="B53" s="13" t="n">
        <v>46129</v>
      </c>
      <c r="C53" s="13" t="n">
        <v>46131</v>
      </c>
      <c r="D53" s="14" t="s">
        <v>311</v>
      </c>
      <c r="E53" s="12" t="s">
        <v>312</v>
      </c>
      <c r="F53" s="12" t="s">
        <v>313</v>
      </c>
      <c r="G53" s="12" t="s">
        <v>154</v>
      </c>
      <c r="H53" s="12" t="s">
        <v>314</v>
      </c>
      <c r="I53" s="12" t="s">
        <v>144</v>
      </c>
      <c r="J53" s="12" t="s">
        <v>144</v>
      </c>
      <c r="K53" s="12" t="s">
        <v>144</v>
      </c>
      <c r="L53" s="12" t="n">
        <f aca="false">COUNTIF(Results!$A$2:$A$482,A53)</f>
        <v>8</v>
      </c>
      <c r="M53" s="12" t="n">
        <f aca="false">SUMIFS(Results!$M$2:$M$482,Results!$A$2:$A$482,A53)</f>
        <v>4</v>
      </c>
      <c r="N53" s="12" t="n">
        <f aca="false">IF(COUNTIFS(Results!$A$2:$A$482,A53,Results!$G$2:$G$482,"&gt;0")=0,"",_xlfn.MINIFS(Results!$G$2:$G$482,Results!$A$2:$A$482,A53,Results!$G$2:$G$482,"&gt;0"))</f>
        <v>9</v>
      </c>
      <c r="O53" s="12" t="n">
        <f aca="false">COUNTIFS(Results!$A$2:$A$482,A53,Results!$G$2:$G$482,1)</f>
        <v>0</v>
      </c>
      <c r="P53" s="12" t="str">
        <f aca="false">IF(K53="Yes","Training",IF(L53&gt;0,"Results found",IF(AND(B53&lt;&gt;"",B53&gt;Summary!$B$4),"Upcoming","No team result found")))</f>
        <v>Results found</v>
      </c>
      <c r="Q53" s="14" t="s">
        <v>315</v>
      </c>
    </row>
    <row r="54" customFormat="false" ht="15" hidden="false" customHeight="false" outlineLevel="0" collapsed="false">
      <c r="A54" s="12" t="s">
        <v>316</v>
      </c>
      <c r="B54" s="13" t="n">
        <v>46136</v>
      </c>
      <c r="C54" s="13" t="n">
        <v>46138</v>
      </c>
      <c r="D54" s="14" t="s">
        <v>317</v>
      </c>
      <c r="E54" s="12" t="s">
        <v>318</v>
      </c>
      <c r="F54" s="12" t="s">
        <v>319</v>
      </c>
      <c r="G54" s="12" t="s">
        <v>154</v>
      </c>
      <c r="H54" s="12" t="s">
        <v>314</v>
      </c>
      <c r="I54" s="12" t="s">
        <v>144</v>
      </c>
      <c r="J54" s="12" t="s">
        <v>144</v>
      </c>
      <c r="K54" s="12" t="s">
        <v>144</v>
      </c>
      <c r="L54" s="12" t="n">
        <f aca="false">COUNTIF(Results!$A$2:$A$482,A54)</f>
        <v>8</v>
      </c>
      <c r="M54" s="12" t="n">
        <f aca="false">SUMIFS(Results!$M$2:$M$482,Results!$A$2:$A$482,A54)</f>
        <v>4</v>
      </c>
      <c r="N54" s="12" t="n">
        <f aca="false">IF(COUNTIFS(Results!$A$2:$A$482,A54,Results!$G$2:$G$482,"&gt;0")=0,"",_xlfn.MINIFS(Results!$G$2:$G$482,Results!$A$2:$A$482,A54,Results!$G$2:$G$482,"&gt;0"))</f>
        <v>8</v>
      </c>
      <c r="O54" s="12" t="n">
        <f aca="false">COUNTIFS(Results!$A$2:$A$482,A54,Results!$G$2:$G$482,1)</f>
        <v>0</v>
      </c>
      <c r="P54" s="12" t="str">
        <f aca="false">IF(K54="Yes","Training",IF(L54&gt;0,"Results found",IF(AND(B54&lt;&gt;"",B54&gt;Summary!$B$4),"Upcoming","No team result found")))</f>
        <v>Results found</v>
      </c>
      <c r="Q54" s="14" t="s">
        <v>315</v>
      </c>
    </row>
    <row r="55" customFormat="false" ht="15" hidden="false" customHeight="false" outlineLevel="0" collapsed="false">
      <c r="A55" s="12" t="s">
        <v>320</v>
      </c>
      <c r="B55" s="13" t="n">
        <v>46158</v>
      </c>
      <c r="C55" s="13" t="n">
        <v>46159</v>
      </c>
      <c r="D55" s="14" t="s">
        <v>321</v>
      </c>
      <c r="E55" s="12" t="s">
        <v>322</v>
      </c>
      <c r="F55" s="12" t="s">
        <v>323</v>
      </c>
      <c r="G55" s="12" t="s">
        <v>163</v>
      </c>
      <c r="H55" s="12"/>
      <c r="I55" s="12" t="s">
        <v>144</v>
      </c>
      <c r="J55" s="12" t="s">
        <v>144</v>
      </c>
      <c r="K55" s="12" t="s">
        <v>144</v>
      </c>
      <c r="L55" s="12" t="n">
        <f aca="false">COUNTIF(Results!$A$2:$A$482,A55)</f>
        <v>4</v>
      </c>
      <c r="M55" s="12" t="n">
        <f aca="false">SUMIFS(Results!$M$2:$M$482,Results!$A$2:$A$482,A55)</f>
        <v>1</v>
      </c>
      <c r="N55" s="12" t="n">
        <f aca="false">IF(COUNTIFS(Results!$A$2:$A$482,A55,Results!$G$2:$G$482,"&gt;0")=0,"",_xlfn.MINIFS(Results!$G$2:$G$482,Results!$A$2:$A$482,A55,Results!$G$2:$G$482,"&gt;0"))</f>
        <v>1</v>
      </c>
      <c r="O55" s="12" t="n">
        <f aca="false">COUNTIFS(Results!$A$2:$A$482,A55,Results!$G$2:$G$482,1)</f>
        <v>1</v>
      </c>
      <c r="P55" s="12" t="str">
        <f aca="false">IF(K55="Yes","Training",IF(L55&gt;0,"Results found",IF(AND(B55&lt;&gt;"",B55&gt;Summary!$B$4),"Upcoming","No team result found")))</f>
        <v>Results found</v>
      </c>
      <c r="Q55" s="14" t="s">
        <v>324</v>
      </c>
    </row>
    <row r="56" customFormat="false" ht="15" hidden="false" customHeight="false" outlineLevel="0" collapsed="false">
      <c r="A56" s="12" t="s">
        <v>325</v>
      </c>
      <c r="B56" s="13" t="n">
        <v>46172</v>
      </c>
      <c r="C56" s="13" t="n">
        <v>46172</v>
      </c>
      <c r="D56" s="14" t="s">
        <v>326</v>
      </c>
      <c r="E56" s="12"/>
      <c r="F56" s="12" t="s">
        <v>176</v>
      </c>
      <c r="G56" s="12" t="s">
        <v>327</v>
      </c>
      <c r="H56" s="12"/>
      <c r="I56" s="12" t="s">
        <v>144</v>
      </c>
      <c r="J56" s="12" t="s">
        <v>144</v>
      </c>
      <c r="K56" s="12" t="s">
        <v>144</v>
      </c>
      <c r="L56" s="12" t="n">
        <f aca="false">COUNTIF(Results!$A$2:$A$482,A56)</f>
        <v>1</v>
      </c>
      <c r="M56" s="12" t="n">
        <f aca="false">SUMIFS(Results!$M$2:$M$482,Results!$A$2:$A$482,A56)</f>
        <v>1</v>
      </c>
      <c r="N56" s="12" t="n">
        <f aca="false">IF(COUNTIFS(Results!$A$2:$A$482,A56,Results!$G$2:$G$482,"&gt;0")=0,"",_xlfn.MINIFS(Results!$G$2:$G$482,Results!$A$2:$A$482,A56,Results!$G$2:$G$482,"&gt;0"))</f>
        <v>13</v>
      </c>
      <c r="O56" s="12" t="n">
        <f aca="false">COUNTIFS(Results!$A$2:$A$482,A56,Results!$G$2:$G$482,1)</f>
        <v>0</v>
      </c>
      <c r="P56" s="12" t="str">
        <f aca="false">IF(K56="Yes","Training",IF(L56&gt;0,"Results found",IF(AND(B56&lt;&gt;"",B56&gt;Summary!$B$4),"Upcoming","No team result found")))</f>
        <v>Results found</v>
      </c>
      <c r="Q56" s="14"/>
    </row>
    <row r="57" customFormat="false" ht="15" hidden="false" customHeight="false" outlineLevel="0" collapsed="false">
      <c r="A57" s="12" t="s">
        <v>328</v>
      </c>
      <c r="B57" s="13" t="n">
        <v>46198</v>
      </c>
      <c r="C57" s="13" t="n">
        <v>46200</v>
      </c>
      <c r="D57" s="14" t="s">
        <v>329</v>
      </c>
      <c r="E57" s="12"/>
      <c r="F57" s="12" t="s">
        <v>82</v>
      </c>
      <c r="G57" s="12" t="s">
        <v>163</v>
      </c>
      <c r="H57" s="12" t="s">
        <v>149</v>
      </c>
      <c r="I57" s="12" t="s">
        <v>144</v>
      </c>
      <c r="J57" s="12" t="s">
        <v>143</v>
      </c>
      <c r="K57" s="12" t="s">
        <v>144</v>
      </c>
      <c r="L57" s="12" t="n">
        <f aca="false">COUNTIF(Results!$A$2:$A$482,A57)</f>
        <v>2</v>
      </c>
      <c r="M57" s="12" t="n">
        <f aca="false">SUMIFS(Results!$M$2:$M$482,Results!$A$2:$A$482,A57)</f>
        <v>1</v>
      </c>
      <c r="N57" s="12" t="n">
        <f aca="false">IF(COUNTIFS(Results!$A$2:$A$482,A57,Results!$G$2:$G$482,"&gt;0")=0,"",_xlfn.MINIFS(Results!$G$2:$G$482,Results!$A$2:$A$482,A57,Results!$G$2:$G$482,"&gt;0"))</f>
        <v>3</v>
      </c>
      <c r="O57" s="12" t="n">
        <f aca="false">COUNTIFS(Results!$A$2:$A$482,A57,Results!$G$2:$G$482,1)</f>
        <v>0</v>
      </c>
      <c r="P57" s="12" t="str">
        <f aca="false">IF(K57="Yes","Training",IF(L57&gt;0,"Results found",IF(AND(B57&lt;&gt;"",B57&gt;Summary!$B$4),"Upcoming","No team result found")))</f>
        <v>Results found</v>
      </c>
      <c r="Q57" s="14"/>
    </row>
    <row r="58" customFormat="false" ht="15" hidden="false" customHeight="false" outlineLevel="0" collapsed="false">
      <c r="A58" s="12" t="s">
        <v>330</v>
      </c>
      <c r="B58" s="13" t="n">
        <v>46198</v>
      </c>
      <c r="C58" s="13" t="n">
        <v>46200</v>
      </c>
      <c r="D58" s="14" t="s">
        <v>331</v>
      </c>
      <c r="E58" s="12"/>
      <c r="F58" s="12" t="s">
        <v>98</v>
      </c>
      <c r="G58" s="12" t="s">
        <v>163</v>
      </c>
      <c r="H58" s="12" t="s">
        <v>149</v>
      </c>
      <c r="I58" s="12" t="s">
        <v>144</v>
      </c>
      <c r="J58" s="12" t="s">
        <v>143</v>
      </c>
      <c r="K58" s="12" t="s">
        <v>144</v>
      </c>
      <c r="L58" s="12" t="n">
        <f aca="false">COUNTIF(Results!$A$2:$A$482,A58)</f>
        <v>2</v>
      </c>
      <c r="M58" s="12" t="n">
        <f aca="false">SUMIFS(Results!$M$2:$M$482,Results!$A$2:$A$482,A58)</f>
        <v>1</v>
      </c>
      <c r="N58" s="12" t="n">
        <f aca="false">IF(COUNTIFS(Results!$A$2:$A$482,A58,Results!$G$2:$G$482,"&gt;0")=0,"",_xlfn.MINIFS(Results!$G$2:$G$482,Results!$A$2:$A$482,A58,Results!$G$2:$G$482,"&gt;0"))</f>
        <v>2</v>
      </c>
      <c r="O58" s="12" t="n">
        <f aca="false">COUNTIFS(Results!$A$2:$A$482,A58,Results!$G$2:$G$482,1)</f>
        <v>0</v>
      </c>
      <c r="P58" s="12" t="str">
        <f aca="false">IF(K58="Yes","Training",IF(L58&gt;0,"Results found",IF(AND(B58&lt;&gt;"",B58&gt;Summary!$B$4),"Upcoming","No team result found")))</f>
        <v>Results found</v>
      </c>
      <c r="Q58" s="14"/>
    </row>
    <row r="59" customFormat="false" ht="15" hidden="false" customHeight="false" outlineLevel="0" collapsed="false">
      <c r="A59" s="12" t="s">
        <v>332</v>
      </c>
      <c r="B59" s="13" t="n">
        <v>46214</v>
      </c>
      <c r="C59" s="13" t="n">
        <v>46217</v>
      </c>
      <c r="D59" s="14" t="s">
        <v>333</v>
      </c>
      <c r="E59" s="12"/>
      <c r="F59" s="12" t="s">
        <v>323</v>
      </c>
      <c r="G59" s="12" t="s">
        <v>163</v>
      </c>
      <c r="H59" s="12" t="s">
        <v>177</v>
      </c>
      <c r="I59" s="12" t="s">
        <v>144</v>
      </c>
      <c r="J59" s="12" t="s">
        <v>144</v>
      </c>
      <c r="K59" s="12" t="s">
        <v>144</v>
      </c>
      <c r="L59" s="12" t="n">
        <f aca="false">COUNTIF(Results!$A$2:$A$482,A59)</f>
        <v>3</v>
      </c>
      <c r="M59" s="12" t="n">
        <f aca="false">SUMIFS(Results!$M$2:$M$482,Results!$A$2:$A$482,A59)</f>
        <v>1</v>
      </c>
      <c r="N59" s="12" t="n">
        <f aca="false">IF(COUNTIFS(Results!$A$2:$A$482,A59,Results!$G$2:$G$482,"&gt;0")=0,"",_xlfn.MINIFS(Results!$G$2:$G$482,Results!$A$2:$A$482,A59,Results!$G$2:$G$482,"&gt;0"))</f>
        <v>13</v>
      </c>
      <c r="O59" s="12" t="n">
        <f aca="false">COUNTIFS(Results!$A$2:$A$482,A59,Results!$G$2:$G$482,1)</f>
        <v>0</v>
      </c>
      <c r="P59" s="12" t="str">
        <f aca="false">IF(K59="Yes","Training",IF(L59&gt;0,"Results found",IF(AND(B59&lt;&gt;"",B59&gt;Summary!$B$4),"Upcoming","No team result found")))</f>
        <v>Results found</v>
      </c>
      <c r="Q59" s="14" t="s">
        <v>324</v>
      </c>
    </row>
    <row r="60" customFormat="false" ht="15" hidden="false" customHeight="false" outlineLevel="0" collapsed="false">
      <c r="A60" s="12" t="s">
        <v>334</v>
      </c>
      <c r="B60" s="13" t="n">
        <v>46219</v>
      </c>
      <c r="C60" s="13" t="n">
        <v>46219</v>
      </c>
      <c r="D60" s="14" t="s">
        <v>335</v>
      </c>
      <c r="E60" s="12"/>
      <c r="F60" s="12" t="s">
        <v>57</v>
      </c>
      <c r="G60" s="12" t="s">
        <v>327</v>
      </c>
      <c r="H60" s="12" t="s">
        <v>149</v>
      </c>
      <c r="I60" s="12" t="s">
        <v>144</v>
      </c>
      <c r="J60" s="12" t="s">
        <v>143</v>
      </c>
      <c r="K60" s="12" t="s">
        <v>144</v>
      </c>
      <c r="L60" s="12" t="n">
        <f aca="false">COUNTIF(Results!$A$2:$A$482,A60)</f>
        <v>3</v>
      </c>
      <c r="M60" s="12" t="n">
        <f aca="false">SUMIFS(Results!$M$2:$M$482,Results!$A$2:$A$482,A60)</f>
        <v>2</v>
      </c>
      <c r="N60" s="12" t="n">
        <f aca="false">IF(COUNTIFS(Results!$A$2:$A$482,A60,Results!$G$2:$G$482,"&gt;0")=0,"",_xlfn.MINIFS(Results!$G$2:$G$482,Results!$A$2:$A$482,A60,Results!$G$2:$G$482,"&gt;0"))</f>
        <v>5</v>
      </c>
      <c r="O60" s="12" t="n">
        <f aca="false">COUNTIFS(Results!$A$2:$A$482,A60,Results!$G$2:$G$482,1)</f>
        <v>0</v>
      </c>
      <c r="P60" s="12" t="str">
        <f aca="false">IF(K60="Yes","Training",IF(L60&gt;0,"Results found",IF(AND(B60&lt;&gt;"",B60&gt;Summary!$B$4),"Upcoming","No team result found")))</f>
        <v>Results found</v>
      </c>
      <c r="Q60" s="14"/>
    </row>
    <row r="61" customFormat="false" ht="15" hidden="false" customHeight="false" outlineLevel="0" collapsed="false">
      <c r="A61" s="12" t="s">
        <v>336</v>
      </c>
      <c r="B61" s="13" t="n">
        <v>46253</v>
      </c>
      <c r="C61" s="13" t="n">
        <v>46256</v>
      </c>
      <c r="D61" s="14" t="s">
        <v>337</v>
      </c>
      <c r="E61" s="12"/>
      <c r="F61" s="12"/>
      <c r="G61" s="12" t="s">
        <v>154</v>
      </c>
      <c r="H61" s="12" t="s">
        <v>338</v>
      </c>
      <c r="I61" s="12" t="s">
        <v>144</v>
      </c>
      <c r="J61" s="12" t="s">
        <v>144</v>
      </c>
      <c r="K61" s="12" t="s">
        <v>144</v>
      </c>
      <c r="L61" s="12" t="n">
        <f aca="false">COUNTIF(Results!$A$2:$A$482,A61)</f>
        <v>3</v>
      </c>
      <c r="M61" s="12" t="n">
        <f aca="false">SUMIFS(Results!$M$2:$M$482,Results!$A$2:$A$482,A61)</f>
        <v>1</v>
      </c>
      <c r="N61" s="12" t="n">
        <f aca="false">IF(COUNTIFS(Results!$A$2:$A$482,A61,Results!$G$2:$G$482,"&gt;0")=0,"",_xlfn.MINIFS(Results!$G$2:$G$482,Results!$A$2:$A$482,A61,Results!$G$2:$G$482,"&gt;0"))</f>
        <v>15</v>
      </c>
      <c r="O61" s="12" t="n">
        <f aca="false">COUNTIFS(Results!$A$2:$A$482,A61,Results!$G$2:$G$482,1)</f>
        <v>0</v>
      </c>
      <c r="P61" s="12" t="str">
        <f aca="false">IF(K61="Yes","Training",IF(L61&gt;0,"Results found",IF(AND(B61&lt;&gt;"",B61&gt;Summary!$B$4),"Upcoming","No team result found")))</f>
        <v>Results found</v>
      </c>
      <c r="Q61" s="14" t="s">
        <v>315</v>
      </c>
    </row>
    <row r="62" customFormat="false" ht="15" hidden="false" customHeight="false" outlineLevel="0" collapsed="false">
      <c r="A62" s="12" t="s">
        <v>339</v>
      </c>
      <c r="B62" s="13" t="n">
        <v>46254</v>
      </c>
      <c r="C62" s="13" t="n">
        <v>46254</v>
      </c>
      <c r="D62" s="14" t="s">
        <v>340</v>
      </c>
      <c r="E62" s="12"/>
      <c r="F62" s="12" t="s">
        <v>176</v>
      </c>
      <c r="G62" s="12" t="s">
        <v>163</v>
      </c>
      <c r="H62" s="12" t="s">
        <v>190</v>
      </c>
      <c r="I62" s="12" t="s">
        <v>144</v>
      </c>
      <c r="J62" s="12" t="s">
        <v>144</v>
      </c>
      <c r="K62" s="12" t="s">
        <v>144</v>
      </c>
      <c r="L62" s="12" t="n">
        <f aca="false">COUNTIF(Results!$A$2:$A$482,A62)</f>
        <v>6</v>
      </c>
      <c r="M62" s="12" t="n">
        <f aca="false">SUMIFS(Results!$M$2:$M$482,Results!$A$2:$A$482,A62)</f>
        <v>6</v>
      </c>
      <c r="N62" s="12" t="n">
        <f aca="false">IF(COUNTIFS(Results!$A$2:$A$482,A62,Results!$G$2:$G$482,"&gt;0")=0,"",_xlfn.MINIFS(Results!$G$2:$G$482,Results!$A$2:$A$482,A62,Results!$G$2:$G$482,"&gt;0"))</f>
        <v>14</v>
      </c>
      <c r="O62" s="12" t="n">
        <f aca="false">COUNTIFS(Results!$A$2:$A$482,A62,Results!$G$2:$G$482,1)</f>
        <v>0</v>
      </c>
      <c r="P62" s="12" t="str">
        <f aca="false">IF(K62="Yes","Training",IF(L62&gt;0,"Results found",IF(AND(B62&lt;&gt;"",B62&gt;Summary!$B$4),"Upcoming","No team result found")))</f>
        <v>Results found</v>
      </c>
      <c r="Q62" s="14"/>
    </row>
    <row r="63" customFormat="false" ht="15" hidden="false" customHeight="false" outlineLevel="0" collapsed="false">
      <c r="A63" s="12" t="s">
        <v>341</v>
      </c>
      <c r="B63" s="13" t="n">
        <v>46255</v>
      </c>
      <c r="C63" s="13" t="n">
        <v>46255</v>
      </c>
      <c r="D63" s="14" t="s">
        <v>342</v>
      </c>
      <c r="E63" s="12" t="s">
        <v>343</v>
      </c>
      <c r="F63" s="12" t="s">
        <v>176</v>
      </c>
      <c r="G63" s="12" t="s">
        <v>163</v>
      </c>
      <c r="H63" s="12" t="s">
        <v>177</v>
      </c>
      <c r="I63" s="12" t="s">
        <v>144</v>
      </c>
      <c r="J63" s="12" t="s">
        <v>144</v>
      </c>
      <c r="K63" s="12" t="s">
        <v>144</v>
      </c>
      <c r="L63" s="12" t="n">
        <f aca="false">COUNTIF(Results!$A$2:$A$482,A63)</f>
        <v>6</v>
      </c>
      <c r="M63" s="12" t="n">
        <f aca="false">SUMIFS(Results!$M$2:$M$482,Results!$A$2:$A$482,A63)</f>
        <v>6</v>
      </c>
      <c r="N63" s="12" t="n">
        <f aca="false">IF(COUNTIFS(Results!$A$2:$A$482,A63,Results!$G$2:$G$482,"&gt;0")=0,"",_xlfn.MINIFS(Results!$G$2:$G$482,Results!$A$2:$A$482,A63,Results!$G$2:$G$482,"&gt;0"))</f>
        <v>9</v>
      </c>
      <c r="O63" s="12" t="n">
        <f aca="false">COUNTIFS(Results!$A$2:$A$482,A63,Results!$G$2:$G$482,1)</f>
        <v>0</v>
      </c>
      <c r="P63" s="12" t="str">
        <f aca="false">IF(K63="Yes","Training",IF(L63&gt;0,"Results found",IF(AND(B63&lt;&gt;"",B63&gt;Summary!$B$4),"Upcoming","No team result found")))</f>
        <v>Results found</v>
      </c>
      <c r="Q63" s="14"/>
    </row>
    <row r="64" customFormat="false" ht="15" hidden="false" customHeight="false" outlineLevel="0" collapsed="false">
      <c r="A64" s="12" t="s">
        <v>344</v>
      </c>
      <c r="B64" s="13" t="n">
        <v>46260</v>
      </c>
      <c r="C64" s="13" t="n">
        <v>46260</v>
      </c>
      <c r="D64" s="14" t="s">
        <v>345</v>
      </c>
      <c r="E64" s="12" t="s">
        <v>195</v>
      </c>
      <c r="F64" s="12" t="s">
        <v>176</v>
      </c>
      <c r="G64" s="12" t="s">
        <v>163</v>
      </c>
      <c r="H64" s="12" t="s">
        <v>177</v>
      </c>
      <c r="I64" s="12" t="s">
        <v>144</v>
      </c>
      <c r="J64" s="12" t="s">
        <v>144</v>
      </c>
      <c r="K64" s="12" t="s">
        <v>144</v>
      </c>
      <c r="L64" s="12" t="n">
        <f aca="false">COUNTIF(Results!$A$2:$A$482,A64)</f>
        <v>6</v>
      </c>
      <c r="M64" s="12" t="n">
        <f aca="false">SUMIFS(Results!$M$2:$M$482,Results!$A$2:$A$482,A64)</f>
        <v>6</v>
      </c>
      <c r="N64" s="12" t="n">
        <f aca="false">IF(COUNTIFS(Results!$A$2:$A$482,A64,Results!$G$2:$G$482,"&gt;0")=0,"",_xlfn.MINIFS(Results!$G$2:$G$482,Results!$A$2:$A$482,A64,Results!$G$2:$G$482,"&gt;0"))</f>
        <v>6</v>
      </c>
      <c r="O64" s="12" t="n">
        <f aca="false">COUNTIFS(Results!$A$2:$A$482,A64,Results!$G$2:$G$482,1)</f>
        <v>0</v>
      </c>
      <c r="P64" s="12" t="str">
        <f aca="false">IF(K64="Yes","Training",IF(L64&gt;0,"Results found",IF(AND(B64&lt;&gt;"",B64&gt;Summary!$B$4),"Upcoming","No team result found")))</f>
        <v>Results found</v>
      </c>
      <c r="Q64" s="14"/>
    </row>
    <row r="65" customFormat="false" ht="15" hidden="false" customHeight="false" outlineLevel="0" collapsed="false">
      <c r="A65" s="12" t="s">
        <v>346</v>
      </c>
      <c r="B65" s="13" t="n">
        <v>46287</v>
      </c>
      <c r="C65" s="13" t="n">
        <v>46290</v>
      </c>
      <c r="D65" s="14" t="s">
        <v>347</v>
      </c>
      <c r="E65" s="12" t="s">
        <v>348</v>
      </c>
      <c r="F65" s="12" t="s">
        <v>349</v>
      </c>
      <c r="G65" s="12" t="s">
        <v>163</v>
      </c>
      <c r="H65" s="12" t="s">
        <v>338</v>
      </c>
      <c r="I65" s="12" t="s">
        <v>144</v>
      </c>
      <c r="J65" s="12" t="s">
        <v>144</v>
      </c>
      <c r="K65" s="12" t="s">
        <v>144</v>
      </c>
      <c r="L65" s="12" t="n">
        <f aca="false">COUNTIF(Results!$A$2:$A$482,A65)</f>
        <v>6</v>
      </c>
      <c r="M65" s="12" t="n">
        <f aca="false">SUMIFS(Results!$M$2:$M$482,Results!$A$2:$A$482,A65)</f>
        <v>4</v>
      </c>
      <c r="N65" s="12" t="n">
        <f aca="false">IF(COUNTIFS(Results!$A$2:$A$482,A65,Results!$G$2:$G$482,"&gt;0")=0,"",_xlfn.MINIFS(Results!$G$2:$G$482,Results!$A$2:$A$482,A65,Results!$G$2:$G$482,"&gt;0"))</f>
        <v>22</v>
      </c>
      <c r="O65" s="12" t="n">
        <f aca="false">COUNTIFS(Results!$A$2:$A$482,A65,Results!$G$2:$G$482,1)</f>
        <v>0</v>
      </c>
      <c r="P65" s="12" t="str">
        <f aca="false">IF(K65="Yes","Training",IF(L65&gt;0,"Results found",IF(AND(B65&lt;&gt;"",B65&gt;Summary!$B$4),"Upcoming","No team result found")))</f>
        <v>Results found</v>
      </c>
      <c r="Q65" s="14" t="s">
        <v>350</v>
      </c>
    </row>
    <row r="66" customFormat="false" ht="23.85" hidden="false" customHeight="false" outlineLevel="0" collapsed="false">
      <c r="A66" s="12" t="s">
        <v>351</v>
      </c>
      <c r="B66" s="13" t="n">
        <v>46292</v>
      </c>
      <c r="C66" s="13" t="n">
        <v>46292</v>
      </c>
      <c r="D66" s="14" t="s">
        <v>352</v>
      </c>
      <c r="E66" s="12"/>
      <c r="F66" s="12" t="s">
        <v>57</v>
      </c>
      <c r="G66" s="12" t="s">
        <v>154</v>
      </c>
      <c r="H66" s="12" t="s">
        <v>149</v>
      </c>
      <c r="I66" s="12" t="s">
        <v>144</v>
      </c>
      <c r="J66" s="12" t="s">
        <v>143</v>
      </c>
      <c r="K66" s="12" t="s">
        <v>144</v>
      </c>
      <c r="L66" s="12" t="n">
        <f aca="false">COUNTIF(Results!$A$2:$A$482,A66)</f>
        <v>12</v>
      </c>
      <c r="M66" s="12" t="n">
        <f aca="false">SUMIFS(Results!$M$2:$M$482,Results!$A$2:$A$482,A66)</f>
        <v>4</v>
      </c>
      <c r="N66" s="12" t="n">
        <f aca="false">IF(COUNTIFS(Results!$A$2:$A$482,A66,Results!$G$2:$G$482,"&gt;0")=0,"",_xlfn.MINIFS(Results!$G$2:$G$482,Results!$A$2:$A$482,A66,Results!$G$2:$G$482,"&gt;0"))</f>
        <v>1</v>
      </c>
      <c r="O66" s="12" t="n">
        <f aca="false">COUNTIFS(Results!$A$2:$A$482,A66,Results!$G$2:$G$482,1)</f>
        <v>9</v>
      </c>
      <c r="P66" s="12" t="str">
        <f aca="false">IF(K66="Yes","Training",IF(L66&gt;0,"Results found",IF(AND(B66&lt;&gt;"",B66&gt;Summary!$B$4),"Upcoming","No team result found")))</f>
        <v>Results found</v>
      </c>
      <c r="Q66" s="14" t="s">
        <v>353</v>
      </c>
    </row>
    <row r="67" customFormat="false" ht="15" hidden="false" customHeight="false" outlineLevel="0" collapsed="false">
      <c r="A67" s="12" t="s">
        <v>354</v>
      </c>
      <c r="B67" s="13"/>
      <c r="C67" s="13"/>
      <c r="D67" s="14" t="s">
        <v>355</v>
      </c>
      <c r="E67" s="12"/>
      <c r="F67" s="12" t="s">
        <v>57</v>
      </c>
      <c r="G67" s="12" t="s">
        <v>327</v>
      </c>
      <c r="H67" s="12" t="s">
        <v>149</v>
      </c>
      <c r="I67" s="12" t="s">
        <v>144</v>
      </c>
      <c r="J67" s="12" t="s">
        <v>143</v>
      </c>
      <c r="K67" s="12" t="s">
        <v>144</v>
      </c>
      <c r="L67" s="12" t="n">
        <f aca="false">COUNTIF(Results!$A$2:$A$482,A67)</f>
        <v>3</v>
      </c>
      <c r="M67" s="12" t="n">
        <f aca="false">SUMIFS(Results!$M$2:$M$482,Results!$A$2:$A$482,A67)</f>
        <v>2</v>
      </c>
      <c r="N67" s="12" t="n">
        <f aca="false">IF(COUNTIFS(Results!$A$2:$A$482,A67,Results!$G$2:$G$482,"&gt;0")=0,"",_xlfn.MINIFS(Results!$G$2:$G$482,Results!$A$2:$A$482,A67,Results!$G$2:$G$482,"&gt;0"))</f>
        <v>1</v>
      </c>
      <c r="O67" s="12" t="n">
        <f aca="false">COUNTIFS(Results!$A$2:$A$482,A67,Results!$G$2:$G$482,1)</f>
        <v>1</v>
      </c>
      <c r="P67" s="12" t="str">
        <f aca="false">IF(K67="Yes","Training",IF(L67&gt;0,"Results found",IF(AND(B67&lt;&gt;"",B67&gt;Summary!$B$4),"Upcoming","No team result found")))</f>
        <v>Results found</v>
      </c>
      <c r="Q67" s="14" t="s">
        <v>356</v>
      </c>
    </row>
  </sheetData>
  <autoFilter ref="A1:Q67"/>
  <conditionalFormatting sqref="P2:P67">
    <cfRule type="expression" priority="2" aboveAverage="0" equalAverage="0" bottom="0" percent="0" rank="0" text="" dxfId="5">
      <formula>P2="Results found"</formula>
    </cfRule>
    <cfRule type="expression" priority="3" aboveAverage="0" equalAverage="0" bottom="0" percent="0" rank="0" text="" dxfId="6">
      <formula>P2="No team result found"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0"/>
    <col collapsed="false" customWidth="true" hidden="false" outlineLevel="0" max="4" min="4" style="0" width="30"/>
    <col collapsed="false" customWidth="true" hidden="false" outlineLevel="0" max="6" min="5" style="0" width="22"/>
    <col collapsed="false" customWidth="true" hidden="false" outlineLevel="0" max="7" min="7" style="0" width="9"/>
    <col collapsed="false" customWidth="true" hidden="false" outlineLevel="0" max="8" min="8" style="0" width="11"/>
    <col collapsed="false" customWidth="true" hidden="false" outlineLevel="0" max="9" min="9" style="0" width="40"/>
    <col collapsed="false" customWidth="true" hidden="false" outlineLevel="0" max="10" min="10" style="0" width="60"/>
    <col collapsed="false" customWidth="true" hidden="false" outlineLevel="0" max="12" min="11" style="0" width="12"/>
    <col collapsed="false" customWidth="true" hidden="true" outlineLevel="0" max="13" min="13" style="0" width="10"/>
    <col collapsed="false" customWidth="true" hidden="true" outlineLevel="0" max="16" min="14" style="0" width="8"/>
  </cols>
  <sheetData>
    <row r="1" customFormat="false" ht="30" hidden="false" customHeight="true" outlineLevel="0" collapsed="false">
      <c r="A1" s="9" t="s">
        <v>125</v>
      </c>
      <c r="B1" s="9" t="s">
        <v>357</v>
      </c>
      <c r="C1" s="9" t="s">
        <v>128</v>
      </c>
      <c r="D1" s="9" t="s">
        <v>358</v>
      </c>
      <c r="E1" s="9" t="s">
        <v>46</v>
      </c>
      <c r="F1" s="9" t="s">
        <v>43</v>
      </c>
      <c r="G1" s="9" t="s">
        <v>359</v>
      </c>
      <c r="H1" s="9" t="s">
        <v>138</v>
      </c>
      <c r="I1" s="9" t="s">
        <v>55</v>
      </c>
      <c r="J1" s="9" t="s">
        <v>360</v>
      </c>
      <c r="K1" s="9" t="s">
        <v>134</v>
      </c>
      <c r="L1" s="9" t="s">
        <v>361</v>
      </c>
      <c r="M1" s="9" t="s">
        <v>362</v>
      </c>
      <c r="N1" s="9" t="s">
        <v>130</v>
      </c>
      <c r="O1" s="9" t="s">
        <v>363</v>
      </c>
      <c r="P1" s="9" t="s">
        <v>364</v>
      </c>
    </row>
    <row r="2" customFormat="false" ht="15" hidden="false" customHeight="false" outlineLevel="0" collapsed="false">
      <c r="A2" s="12" t="s">
        <v>166</v>
      </c>
      <c r="B2" s="13" t="n">
        <v>46085</v>
      </c>
      <c r="C2" s="12" t="str">
        <f aca="false">IF(A2="","",IFERROR(INDEX(Events!$D$2:$D$67,MATCH(A2,Events!$A$2:$A$67,0)),"Unknown event ID"))</f>
        <v>UMAG Classic Ladies</v>
      </c>
      <c r="D2" s="12" t="s">
        <v>365</v>
      </c>
      <c r="E2" s="12" t="s">
        <v>59</v>
      </c>
      <c r="F2" s="12" t="s">
        <v>56</v>
      </c>
      <c r="G2" s="12" t="n">
        <v>13</v>
      </c>
      <c r="H2" s="12" t="s">
        <v>366</v>
      </c>
      <c r="I2" s="12"/>
      <c r="J2" s="12" t="s">
        <v>61</v>
      </c>
      <c r="K2" s="12" t="str">
        <f aca="false">IF(A2="","",IFERROR(IF(INDEX(Events!$J$2:$J$67,MATCH(A2,Events!$A$2:$A$67,0))="Yes",IF(ISNUMBER(SEARCH("Criterium final",D2)),"No","Yes"),"No"),""))</f>
        <v>No</v>
      </c>
      <c r="L2" s="12"/>
      <c r="M2" s="12" t="n">
        <f aca="false">IF(OR(A2="",F2=""),0,IF(COUNTIFS($A$2:A2,A2,$F$2:F2,F2)=1,1,0))</f>
        <v>1</v>
      </c>
      <c r="N2" s="12" t="str">
        <f aca="false">IF(A2="","",IFERROR(INDEX(Events!$F$2:$F$67,MATCH(A2,Events!$A$2:$A$67,0)),""))</f>
        <v>CRO</v>
      </c>
      <c r="O2" s="12" t="n">
        <f aca="false">IF(AND(G2=1,K2="Yes",N2="POL"),IF(COUNTIFS($A$2:A2,A2,$D$2:D2,D2,$E$2:E2,E2,$G$2:G2,1)=1,1,0),0)</f>
        <v>0</v>
      </c>
      <c r="P2" s="12" t="n">
        <f aca="false">IF(AND(ISNUMBER(G2),K2="Yes",N2="POL"),IF(AND(G2&gt;=1,G2&lt;=3,COUNTIFS($A$2:A2,A2,$D$2:D2,D2,$E$2:E2,E2,$G$2:G2,G2)=1),1,0),0)</f>
        <v>0</v>
      </c>
    </row>
    <row r="3" customFormat="false" ht="15" hidden="false" customHeight="false" outlineLevel="0" collapsed="false">
      <c r="A3" s="12" t="s">
        <v>171</v>
      </c>
      <c r="B3" s="13" t="n">
        <v>46089</v>
      </c>
      <c r="C3" s="12" t="str">
        <f aca="false">IF(A3="","",IFERROR(INDEX(Events!$D$2:$D$67,MATCH(A3,Events!$A$2:$A$67,0)),"Unknown event ID"))</f>
        <v>POREČ Classic Ladies</v>
      </c>
      <c r="D3" s="12" t="s">
        <v>365</v>
      </c>
      <c r="E3" s="12" t="s">
        <v>59</v>
      </c>
      <c r="F3" s="12" t="s">
        <v>56</v>
      </c>
      <c r="G3" s="12" t="n">
        <v>2</v>
      </c>
      <c r="H3" s="12" t="s">
        <v>366</v>
      </c>
      <c r="I3" s="12"/>
      <c r="J3" s="12" t="s">
        <v>61</v>
      </c>
      <c r="K3" s="12" t="str">
        <f aca="false">IF(A3="","",IFERROR(IF(INDEX(Events!$J$2:$J$67,MATCH(A3,Events!$A$2:$A$67,0))="Yes",IF(ISNUMBER(SEARCH("Criterium final",D3)),"No","Yes"),"No"),""))</f>
        <v>No</v>
      </c>
      <c r="L3" s="12"/>
      <c r="M3" s="12" t="n">
        <f aca="false">IF(OR(A3="",F3=""),0,IF(COUNTIFS($A$2:A3,A3,$F$2:F3,F3)=1,1,0))</f>
        <v>1</v>
      </c>
      <c r="N3" s="12" t="str">
        <f aca="false">IF(A3="","",IFERROR(INDEX(Events!$F$2:$F$67,MATCH(A3,Events!$A$2:$A$67,0)),""))</f>
        <v>CRO</v>
      </c>
      <c r="O3" s="12" t="n">
        <f aca="false">IF(AND(G3=1,K3="Yes",N3="POL"),IF(COUNTIFS($A$2:A3,A3,$D$2:D3,D3,$E$2:E3,E3,$G$2:G3,1)=1,1,0),0)</f>
        <v>0</v>
      </c>
      <c r="P3" s="12" t="n">
        <f aca="false">IF(AND(ISNUMBER(G3),K3="Yes",N3="POL"),IF(AND(G3&gt;=1,G3&lt;=3,COUNTIFS($A$2:A3,A3,$D$2:D3,D3,$E$2:E3,E3,$G$2:G3,G3)=1),1,0),0)</f>
        <v>0</v>
      </c>
    </row>
    <row r="4" customFormat="false" ht="15" hidden="false" customHeight="false" outlineLevel="0" collapsed="false">
      <c r="A4" s="12" t="s">
        <v>174</v>
      </c>
      <c r="B4" s="13" t="n">
        <v>46103</v>
      </c>
      <c r="C4" s="12" t="str">
        <f aca="false">IF(A4="","",IFERROR(INDEX(Events!$D$2:$D$67,MATCH(A4,Events!$A$2:$A$67,0)),"Unknown event ID"))</f>
        <v>Midwest Cycling Classic</v>
      </c>
      <c r="D4" s="12" t="s">
        <v>365</v>
      </c>
      <c r="E4" s="12" t="s">
        <v>59</v>
      </c>
      <c r="F4" s="12" t="s">
        <v>56</v>
      </c>
      <c r="G4" s="12" t="n">
        <v>9</v>
      </c>
      <c r="H4" s="12" t="s">
        <v>366</v>
      </c>
      <c r="I4" s="12"/>
      <c r="J4" s="12" t="s">
        <v>61</v>
      </c>
      <c r="K4" s="12" t="str">
        <f aca="false">IF(A4="","",IFERROR(IF(INDEX(Events!$J$2:$J$67,MATCH(A4,Events!$A$2:$A$67,0))="Yes",IF(ISNUMBER(SEARCH("Criterium final",D4)),"No","Yes"),"No"),""))</f>
        <v>No</v>
      </c>
      <c r="L4" s="12"/>
      <c r="M4" s="12" t="n">
        <f aca="false">IF(OR(A4="",F4=""),0,IF(COUNTIFS($A$2:A4,A4,$F$2:F4,F4)=1,1,0))</f>
        <v>1</v>
      </c>
      <c r="N4" s="12" t="str">
        <f aca="false">IF(A4="","",IFERROR(INDEX(Events!$F$2:$F$67,MATCH(A4,Events!$A$2:$A$67,0)),""))</f>
        <v>BEL</v>
      </c>
      <c r="O4" s="12" t="n">
        <f aca="false">IF(AND(G4=1,K4="Yes",N4="POL"),IF(COUNTIFS($A$2:A4,A4,$D$2:D4,D4,$E$2:E4,E4,$G$2:G4,1)=1,1,0),0)</f>
        <v>0</v>
      </c>
      <c r="P4" s="12" t="n">
        <f aca="false">IF(AND(ISNUMBER(G4),K4="Yes",N4="POL"),IF(AND(G4&gt;=1,G4&lt;=3,COUNTIFS($A$2:A4,A4,$D$2:D4,D4,$E$2:E4,E4,$G$2:G4,G4)=1),1,0),0)</f>
        <v>0</v>
      </c>
    </row>
    <row r="5" customFormat="false" ht="15" hidden="false" customHeight="false" outlineLevel="0" collapsed="false">
      <c r="A5" s="12" t="s">
        <v>181</v>
      </c>
      <c r="B5" s="13" t="n">
        <v>46116</v>
      </c>
      <c r="C5" s="12" t="str">
        <f aca="false">IF(A5="","",IFERROR(INDEX(Events!$D$2:$D$67,MATCH(A5,Events!$A$2:$A$67,0)),"Unknown event ID"))</f>
        <v>NXT Classic</v>
      </c>
      <c r="D5" s="12" t="s">
        <v>365</v>
      </c>
      <c r="E5" s="12" t="s">
        <v>59</v>
      </c>
      <c r="F5" s="12" t="s">
        <v>56</v>
      </c>
      <c r="G5" s="12" t="n">
        <v>21</v>
      </c>
      <c r="H5" s="12" t="s">
        <v>366</v>
      </c>
      <c r="I5" s="12"/>
      <c r="J5" s="12" t="s">
        <v>61</v>
      </c>
      <c r="K5" s="12" t="str">
        <f aca="false">IF(A5="","",IFERROR(IF(INDEX(Events!$J$2:$J$67,MATCH(A5,Events!$A$2:$A$67,0))="Yes",IF(ISNUMBER(SEARCH("Criterium final",D5)),"No","Yes"),"No"),""))</f>
        <v>No</v>
      </c>
      <c r="L5" s="12"/>
      <c r="M5" s="12" t="n">
        <f aca="false">IF(OR(A5="",F5=""),0,IF(COUNTIFS($A$2:A5,A5,$F$2:F5,F5)=1,1,0))</f>
        <v>1</v>
      </c>
      <c r="N5" s="12" t="str">
        <f aca="false">IF(A5="","",IFERROR(INDEX(Events!$F$2:$F$67,MATCH(A5,Events!$A$2:$A$67,0)),""))</f>
        <v>NED</v>
      </c>
      <c r="O5" s="12" t="n">
        <f aca="false">IF(AND(G5=1,K5="Yes",N5="POL"),IF(COUNTIFS($A$2:A5,A5,$D$2:D5,D5,$E$2:E5,E5,$G$2:G5,1)=1,1,0),0)</f>
        <v>0</v>
      </c>
      <c r="P5" s="12" t="n">
        <f aca="false">IF(AND(ISNUMBER(G5),K5="Yes",N5="POL"),IF(AND(G5&gt;=1,G5&lt;=3,COUNTIFS($A$2:A5,A5,$D$2:D5,D5,$E$2:E5,E5,$G$2:G5,G5)=1),1,0),0)</f>
        <v>0</v>
      </c>
    </row>
    <row r="6" customFormat="false" ht="15" hidden="false" customHeight="false" outlineLevel="0" collapsed="false">
      <c r="A6" s="12" t="s">
        <v>185</v>
      </c>
      <c r="B6" s="13" t="n">
        <v>46118</v>
      </c>
      <c r="C6" s="12" t="str">
        <f aca="false">IF(A6="","",IFERROR(INDEX(Events!$D$2:$D$67,MATCH(A6,Events!$A$2:$A$67,0)),"Unknown event ID"))</f>
        <v>Ronde de Mouscron</v>
      </c>
      <c r="D6" s="12" t="s">
        <v>365</v>
      </c>
      <c r="E6" s="12" t="s">
        <v>59</v>
      </c>
      <c r="F6" s="12" t="s">
        <v>56</v>
      </c>
      <c r="G6" s="12" t="n">
        <v>7</v>
      </c>
      <c r="H6" s="12" t="s">
        <v>366</v>
      </c>
      <c r="I6" s="12"/>
      <c r="J6" s="12" t="s">
        <v>61</v>
      </c>
      <c r="K6" s="12" t="str">
        <f aca="false">IF(A6="","",IFERROR(IF(INDEX(Events!$J$2:$J$67,MATCH(A6,Events!$A$2:$A$67,0))="Yes",IF(ISNUMBER(SEARCH("Criterium final",D6)),"No","Yes"),"No"),""))</f>
        <v>No</v>
      </c>
      <c r="L6" s="12"/>
      <c r="M6" s="12" t="n">
        <f aca="false">IF(OR(A6="",F6=""),0,IF(COUNTIFS($A$2:A6,A6,$F$2:F6,F6)=1,1,0))</f>
        <v>1</v>
      </c>
      <c r="N6" s="12" t="str">
        <f aca="false">IF(A6="","",IFERROR(INDEX(Events!$F$2:$F$67,MATCH(A6,Events!$A$2:$A$67,0)),""))</f>
        <v>BEL</v>
      </c>
      <c r="O6" s="12" t="n">
        <f aca="false">IF(AND(G6=1,K6="Yes",N6="POL"),IF(COUNTIFS($A$2:A6,A6,$D$2:D6,D6,$E$2:E6,E6,$G$2:G6,1)=1,1,0),0)</f>
        <v>0</v>
      </c>
      <c r="P6" s="12" t="n">
        <f aca="false">IF(AND(ISNUMBER(G6),K6="Yes",N6="POL"),IF(AND(G6&gt;=1,G6&lt;=3,COUNTIFS($A$2:A6,A6,$D$2:D6,D6,$E$2:E6,E6,$G$2:G6,G6)=1),1,0),0)</f>
        <v>0</v>
      </c>
    </row>
    <row r="7" customFormat="false" ht="15" hidden="false" customHeight="false" outlineLevel="0" collapsed="false">
      <c r="A7" s="12" t="s">
        <v>191</v>
      </c>
      <c r="B7" s="13" t="n">
        <v>46124</v>
      </c>
      <c r="C7" s="12" t="str">
        <f aca="false">IF(A7="","",IFERROR(INDEX(Events!$D$2:$D$67,MATCH(A7,Events!$A$2:$A$67,0)),"Unknown event ID"))</f>
        <v>Ślężański Mnich</v>
      </c>
      <c r="D7" s="12" t="s">
        <v>367</v>
      </c>
      <c r="E7" s="12" t="s">
        <v>59</v>
      </c>
      <c r="F7" s="12" t="s">
        <v>56</v>
      </c>
      <c r="G7" s="12" t="n">
        <v>3</v>
      </c>
      <c r="H7" s="12" t="s">
        <v>366</v>
      </c>
      <c r="I7" s="12"/>
      <c r="J7" s="12" t="s">
        <v>368</v>
      </c>
      <c r="K7" s="12" t="str">
        <f aca="false">IF(A7="","",IFERROR(IF(INDEX(Events!$J$2:$J$67,MATCH(A7,Events!$A$2:$A$67,0))="Yes",IF(ISNUMBER(SEARCH("Criterium final",D7)),"No","Yes"),"No"),""))</f>
        <v>No</v>
      </c>
      <c r="L7" s="12"/>
      <c r="M7" s="12" t="n">
        <f aca="false">IF(OR(A7="",F7=""),0,IF(COUNTIFS($A$2:A7,A7,$F$2:F7,F7)=1,1,0))</f>
        <v>1</v>
      </c>
      <c r="N7" s="12" t="str">
        <f aca="false">IF(A7="","",IFERROR(INDEX(Events!$F$2:$F$67,MATCH(A7,Events!$A$2:$A$67,0)),""))</f>
        <v>POL</v>
      </c>
      <c r="O7" s="12" t="n">
        <f aca="false">IF(AND(G7=1,K7="Yes",N7="POL"),IF(COUNTIFS($A$2:A7,A7,$D$2:D7,D7,$E$2:E7,E7,$G$2:G7,1)=1,1,0),0)</f>
        <v>0</v>
      </c>
      <c r="P7" s="12" t="n">
        <f aca="false">IF(AND(ISNUMBER(G7),K7="Yes",N7="POL"),IF(AND(G7&gt;=1,G7&lt;=3,COUNTIFS($A$2:A7,A7,$D$2:D7,D7,$E$2:E7,E7,$G$2:G7,G7)=1),1,0),0)</f>
        <v>0</v>
      </c>
    </row>
    <row r="8" customFormat="false" ht="15" hidden="false" customHeight="false" outlineLevel="0" collapsed="false">
      <c r="A8" s="12" t="s">
        <v>310</v>
      </c>
      <c r="B8" s="13" t="n">
        <v>46129</v>
      </c>
      <c r="C8" s="12" t="str">
        <f aca="false">IF(A8="","",IFERROR(INDEX(Events!$D$2:$D$67,MATCH(A8,Events!$A$2:$A$67,0)),"Unknown event ID"))</f>
        <v>UCI Track Nations Cup – Hong Kong</v>
      </c>
      <c r="D8" s="12" t="s">
        <v>369</v>
      </c>
      <c r="E8" s="12" t="s">
        <v>59</v>
      </c>
      <c r="F8" s="12" t="s">
        <v>56</v>
      </c>
      <c r="G8" s="12" t="n">
        <v>9</v>
      </c>
      <c r="H8" s="12" t="s">
        <v>366</v>
      </c>
      <c r="I8" s="12"/>
      <c r="J8" s="12" t="s">
        <v>61</v>
      </c>
      <c r="K8" s="12" t="str">
        <f aca="false">IF(A8="","",IFERROR(IF(INDEX(Events!$J$2:$J$67,MATCH(A8,Events!$A$2:$A$67,0))="Yes",IF(ISNUMBER(SEARCH("Criterium final",D8)),"No","Yes"),"No"),""))</f>
        <v>No</v>
      </c>
      <c r="L8" s="12"/>
      <c r="M8" s="12" t="n">
        <f aca="false">IF(OR(A8="",F8=""),0,IF(COUNTIFS($A$2:A8,A8,$F$2:F8,F8)=1,1,0))</f>
        <v>1</v>
      </c>
      <c r="N8" s="12" t="str">
        <f aca="false">IF(A8="","",IFERROR(INDEX(Events!$F$2:$F$67,MATCH(A8,Events!$A$2:$A$67,0)),""))</f>
        <v>HKG</v>
      </c>
      <c r="O8" s="12" t="n">
        <f aca="false">IF(AND(G8=1,K8="Yes",N8="POL"),IF(COUNTIFS($A$2:A8,A8,$D$2:D8,D8,$E$2:E8,E8,$G$2:G8,1)=1,1,0),0)</f>
        <v>0</v>
      </c>
      <c r="P8" s="12" t="n">
        <f aca="false">IF(AND(ISNUMBER(G8),K8="Yes",N8="POL"),IF(AND(G8&gt;=1,G8&lt;=3,COUNTIFS($A$2:A8,A8,$D$2:D8,D8,$E$2:E8,E8,$G$2:G8,G8)=1),1,0),0)</f>
        <v>0</v>
      </c>
    </row>
    <row r="9" customFormat="false" ht="15" hidden="false" customHeight="false" outlineLevel="0" collapsed="false">
      <c r="A9" s="12" t="s">
        <v>310</v>
      </c>
      <c r="B9" s="13" t="n">
        <v>46130</v>
      </c>
      <c r="C9" s="12" t="str">
        <f aca="false">IF(A9="","",IFERROR(INDEX(Events!$D$2:$D$67,MATCH(A9,Events!$A$2:$A$67,0)),"Unknown event ID"))</f>
        <v>UCI Track Nations Cup – Hong Kong</v>
      </c>
      <c r="D9" s="12" t="s">
        <v>370</v>
      </c>
      <c r="E9" s="12" t="s">
        <v>59</v>
      </c>
      <c r="F9" s="12" t="s">
        <v>56</v>
      </c>
      <c r="G9" s="12" t="n">
        <v>10</v>
      </c>
      <c r="H9" s="12" t="s">
        <v>366</v>
      </c>
      <c r="I9" s="12"/>
      <c r="J9" s="12" t="s">
        <v>61</v>
      </c>
      <c r="K9" s="12" t="str">
        <f aca="false">IF(A9="","",IFERROR(IF(INDEX(Events!$J$2:$J$67,MATCH(A9,Events!$A$2:$A$67,0))="Yes",IF(ISNUMBER(SEARCH("Criterium final",D9)),"No","Yes"),"No"),""))</f>
        <v>No</v>
      </c>
      <c r="L9" s="12"/>
      <c r="M9" s="12" t="n">
        <f aca="false">IF(OR(A9="",F9=""),0,IF(COUNTIFS($A$2:A9,A9,$F$2:F9,F9)=1,1,0))</f>
        <v>0</v>
      </c>
      <c r="N9" s="12" t="str">
        <f aca="false">IF(A9="","",IFERROR(INDEX(Events!$F$2:$F$67,MATCH(A9,Events!$A$2:$A$67,0)),""))</f>
        <v>HKG</v>
      </c>
      <c r="O9" s="12" t="n">
        <f aca="false">IF(AND(G9=1,K9="Yes",N9="POL"),IF(COUNTIFS($A$2:A9,A9,$D$2:D9,D9,$E$2:E9,E9,$G$2:G9,1)=1,1,0),0)</f>
        <v>0</v>
      </c>
      <c r="P9" s="12" t="n">
        <f aca="false">IF(AND(ISNUMBER(G9),K9="Yes",N9="POL"),IF(AND(G9&gt;=1,G9&lt;=3,COUNTIFS($A$2:A9,A9,$D$2:D9,D9,$E$2:E9,E9,$G$2:G9,G9)=1),1,0),0)</f>
        <v>0</v>
      </c>
    </row>
    <row r="10" customFormat="false" ht="15" hidden="false" customHeight="false" outlineLevel="0" collapsed="false">
      <c r="A10" s="12" t="s">
        <v>310</v>
      </c>
      <c r="B10" s="13" t="n">
        <v>46131</v>
      </c>
      <c r="C10" s="12" t="str">
        <f aca="false">IF(A10="","",IFERROR(INDEX(Events!$D$2:$D$67,MATCH(A10,Events!$A$2:$A$67,0)),"Unknown event ID"))</f>
        <v>UCI Track Nations Cup – Hong Kong</v>
      </c>
      <c r="D10" s="12" t="s">
        <v>371</v>
      </c>
      <c r="E10" s="12" t="s">
        <v>59</v>
      </c>
      <c r="F10" s="12" t="s">
        <v>56</v>
      </c>
      <c r="G10" s="12" t="n">
        <v>13</v>
      </c>
      <c r="H10" s="12" t="s">
        <v>366</v>
      </c>
      <c r="I10" s="12"/>
      <c r="J10" s="12" t="s">
        <v>61</v>
      </c>
      <c r="K10" s="12" t="str">
        <f aca="false">IF(A10="","",IFERROR(IF(INDEX(Events!$J$2:$J$67,MATCH(A10,Events!$A$2:$A$67,0))="Yes",IF(ISNUMBER(SEARCH("Criterium final",D10)),"No","Yes"),"No"),""))</f>
        <v>No</v>
      </c>
      <c r="L10" s="12"/>
      <c r="M10" s="12" t="n">
        <f aca="false">IF(OR(A10="",F10=""),0,IF(COUNTIFS($A$2:A10,A10,$F$2:F10,F10)=1,1,0))</f>
        <v>0</v>
      </c>
      <c r="N10" s="12" t="str">
        <f aca="false">IF(A10="","",IFERROR(INDEX(Events!$F$2:$F$67,MATCH(A10,Events!$A$2:$A$67,0)),""))</f>
        <v>HKG</v>
      </c>
      <c r="O10" s="12" t="n">
        <f aca="false">IF(AND(G10=1,K10="Yes",N10="POL"),IF(COUNTIFS($A$2:A10,A10,$D$2:D10,D10,$E$2:E10,E10,$G$2:G10,1)=1,1,0),0)</f>
        <v>0</v>
      </c>
      <c r="P10" s="12" t="n">
        <f aca="false">IF(AND(ISNUMBER(G10),K10="Yes",N10="POL"),IF(AND(G10&gt;=1,G10&lt;=3,COUNTIFS($A$2:A10,A10,$D$2:D10,D10,$E$2:E10,E10,$G$2:G10,G10)=1),1,0),0)</f>
        <v>0</v>
      </c>
    </row>
    <row r="11" customFormat="false" ht="15" hidden="false" customHeight="false" outlineLevel="0" collapsed="false">
      <c r="A11" s="12" t="s">
        <v>316</v>
      </c>
      <c r="B11" s="13" t="n">
        <v>46136</v>
      </c>
      <c r="C11" s="12" t="str">
        <f aca="false">IF(A11="","",IFERROR(INDEX(Events!$D$2:$D$67,MATCH(A11,Events!$A$2:$A$67,0)),"Unknown event ID"))</f>
        <v>UCI Track Nations Cup – Nilai</v>
      </c>
      <c r="D11" s="12" t="s">
        <v>369</v>
      </c>
      <c r="E11" s="12" t="s">
        <v>59</v>
      </c>
      <c r="F11" s="12" t="s">
        <v>56</v>
      </c>
      <c r="G11" s="12" t="n">
        <v>8</v>
      </c>
      <c r="H11" s="12" t="s">
        <v>366</v>
      </c>
      <c r="I11" s="12"/>
      <c r="J11" s="12" t="s">
        <v>61</v>
      </c>
      <c r="K11" s="12" t="str">
        <f aca="false">IF(A11="","",IFERROR(IF(INDEX(Events!$J$2:$J$67,MATCH(A11,Events!$A$2:$A$67,0))="Yes",IF(ISNUMBER(SEARCH("Criterium final",D11)),"No","Yes"),"No"),""))</f>
        <v>No</v>
      </c>
      <c r="L11" s="12"/>
      <c r="M11" s="12" t="n">
        <f aca="false">IF(OR(A11="",F11=""),0,IF(COUNTIFS($A$2:A11,A11,$F$2:F11,F11)=1,1,0))</f>
        <v>1</v>
      </c>
      <c r="N11" s="12" t="str">
        <f aca="false">IF(A11="","",IFERROR(INDEX(Events!$F$2:$F$67,MATCH(A11,Events!$A$2:$A$67,0)),""))</f>
        <v>MAS</v>
      </c>
      <c r="O11" s="12" t="n">
        <f aca="false">IF(AND(G11=1,K11="Yes",N11="POL"),IF(COUNTIFS($A$2:A11,A11,$D$2:D11,D11,$E$2:E11,E11,$G$2:G11,1)=1,1,0),0)</f>
        <v>0</v>
      </c>
      <c r="P11" s="12" t="n">
        <f aca="false">IF(AND(ISNUMBER(G11),K11="Yes",N11="POL"),IF(AND(G11&gt;=1,G11&lt;=3,COUNTIFS($A$2:A11,A11,$D$2:D11,D11,$E$2:E11,E11,$G$2:G11,G11)=1),1,0),0)</f>
        <v>0</v>
      </c>
    </row>
    <row r="12" customFormat="false" ht="15" hidden="false" customHeight="false" outlineLevel="0" collapsed="false">
      <c r="A12" s="12" t="s">
        <v>316</v>
      </c>
      <c r="B12" s="13" t="n">
        <v>46137</v>
      </c>
      <c r="C12" s="12" t="str">
        <f aca="false">IF(A12="","",IFERROR(INDEX(Events!$D$2:$D$67,MATCH(A12,Events!$A$2:$A$67,0)),"Unknown event ID"))</f>
        <v>UCI Track Nations Cup – Nilai</v>
      </c>
      <c r="D12" s="12" t="s">
        <v>370</v>
      </c>
      <c r="E12" s="12" t="s">
        <v>59</v>
      </c>
      <c r="F12" s="12" t="s">
        <v>56</v>
      </c>
      <c r="G12" s="12" t="n">
        <v>9</v>
      </c>
      <c r="H12" s="12" t="s">
        <v>366</v>
      </c>
      <c r="I12" s="12"/>
      <c r="J12" s="12" t="s">
        <v>61</v>
      </c>
      <c r="K12" s="12" t="str">
        <f aca="false">IF(A12="","",IFERROR(IF(INDEX(Events!$J$2:$J$67,MATCH(A12,Events!$A$2:$A$67,0))="Yes",IF(ISNUMBER(SEARCH("Criterium final",D12)),"No","Yes"),"No"),""))</f>
        <v>No</v>
      </c>
      <c r="L12" s="12"/>
      <c r="M12" s="12" t="n">
        <f aca="false">IF(OR(A12="",F12=""),0,IF(COUNTIFS($A$2:A12,A12,$F$2:F12,F12)=1,1,0))</f>
        <v>0</v>
      </c>
      <c r="N12" s="12" t="str">
        <f aca="false">IF(A12="","",IFERROR(INDEX(Events!$F$2:$F$67,MATCH(A12,Events!$A$2:$A$67,0)),""))</f>
        <v>MAS</v>
      </c>
      <c r="O12" s="12" t="n">
        <f aca="false">IF(AND(G12=1,K12="Yes",N12="POL"),IF(COUNTIFS($A$2:A12,A12,$D$2:D12,D12,$E$2:E12,E12,$G$2:G12,1)=1,1,0),0)</f>
        <v>0</v>
      </c>
      <c r="P12" s="12" t="n">
        <f aca="false">IF(AND(ISNUMBER(G12),K12="Yes",N12="POL"),IF(AND(G12&gt;=1,G12&lt;=3,COUNTIFS($A$2:A12,A12,$D$2:D12,D12,$E$2:E12,E12,$G$2:G12,G12)=1),1,0),0)</f>
        <v>0</v>
      </c>
    </row>
    <row r="13" customFormat="false" ht="15" hidden="false" customHeight="false" outlineLevel="0" collapsed="false">
      <c r="A13" s="12" t="s">
        <v>316</v>
      </c>
      <c r="B13" s="13" t="n">
        <v>46138</v>
      </c>
      <c r="C13" s="12" t="str">
        <f aca="false">IF(A13="","",IFERROR(INDEX(Events!$D$2:$D$67,MATCH(A13,Events!$A$2:$A$67,0)),"Unknown event ID"))</f>
        <v>UCI Track Nations Cup – Nilai</v>
      </c>
      <c r="D13" s="12" t="s">
        <v>371</v>
      </c>
      <c r="E13" s="12" t="s">
        <v>59</v>
      </c>
      <c r="F13" s="12" t="s">
        <v>56</v>
      </c>
      <c r="G13" s="12" t="n">
        <v>13</v>
      </c>
      <c r="H13" s="12" t="s">
        <v>366</v>
      </c>
      <c r="I13" s="12"/>
      <c r="J13" s="12" t="s">
        <v>61</v>
      </c>
      <c r="K13" s="12" t="str">
        <f aca="false">IF(A13="","",IFERROR(IF(INDEX(Events!$J$2:$J$67,MATCH(A13,Events!$A$2:$A$67,0))="Yes",IF(ISNUMBER(SEARCH("Criterium final",D13)),"No","Yes"),"No"),""))</f>
        <v>No</v>
      </c>
      <c r="L13" s="12"/>
      <c r="M13" s="12" t="n">
        <f aca="false">IF(OR(A13="",F13=""),0,IF(COUNTIFS($A$2:A13,A13,$F$2:F13,F13)=1,1,0))</f>
        <v>0</v>
      </c>
      <c r="N13" s="12" t="str">
        <f aca="false">IF(A13="","",IFERROR(INDEX(Events!$F$2:$F$67,MATCH(A13,Events!$A$2:$A$67,0)),""))</f>
        <v>MAS</v>
      </c>
      <c r="O13" s="12" t="n">
        <f aca="false">IF(AND(G13=1,K13="Yes",N13="POL"),IF(COUNTIFS($A$2:A13,A13,$D$2:D13,D13,$E$2:E13,E13,$G$2:G13,1)=1,1,0),0)</f>
        <v>0</v>
      </c>
      <c r="P13" s="12" t="n">
        <f aca="false">IF(AND(ISNUMBER(G13),K13="Yes",N13="POL"),IF(AND(G13&gt;=1,G13&lt;=3,COUNTIFS($A$2:A13,A13,$D$2:D13,D13,$E$2:E13,E13,$G$2:G13,G13)=1),1,0),0)</f>
        <v>0</v>
      </c>
    </row>
    <row r="14" customFormat="false" ht="15" hidden="false" customHeight="false" outlineLevel="0" collapsed="false">
      <c r="A14" s="12" t="s">
        <v>223</v>
      </c>
      <c r="B14" s="13" t="n">
        <v>46156</v>
      </c>
      <c r="C14" s="12" t="str">
        <f aca="false">IF(A14="","",IFERROR(INDEX(Events!$D$2:$D$67,MATCH(A14,Events!$A$2:$A$67,0)),"Unknown event ID"))</f>
        <v>Tour de Feminin</v>
      </c>
      <c r="D14" s="12" t="s">
        <v>372</v>
      </c>
      <c r="E14" s="12" t="s">
        <v>59</v>
      </c>
      <c r="F14" s="12" t="s">
        <v>56</v>
      </c>
      <c r="G14" s="12" t="n">
        <v>7</v>
      </c>
      <c r="H14" s="12" t="s">
        <v>366</v>
      </c>
      <c r="I14" s="12"/>
      <c r="J14" s="12" t="s">
        <v>61</v>
      </c>
      <c r="K14" s="12" t="str">
        <f aca="false">IF(A14="","",IFERROR(IF(INDEX(Events!$J$2:$J$67,MATCH(A14,Events!$A$2:$A$67,0))="Yes",IF(ISNUMBER(SEARCH("Criterium final",D14)),"No","Yes"),"No"),""))</f>
        <v>No</v>
      </c>
      <c r="L14" s="12"/>
      <c r="M14" s="12" t="n">
        <f aca="false">IF(OR(A14="",F14=""),0,IF(COUNTIFS($A$2:A14,A14,$F$2:F14,F14)=1,1,0))</f>
        <v>1</v>
      </c>
      <c r="N14" s="12" t="str">
        <f aca="false">IF(A14="","",IFERROR(INDEX(Events!$F$2:$F$67,MATCH(A14,Events!$A$2:$A$67,0)),""))</f>
        <v>CZE</v>
      </c>
      <c r="O14" s="12" t="n">
        <f aca="false">IF(AND(G14=1,K14="Yes",N14="POL"),IF(COUNTIFS($A$2:A14,A14,$D$2:D14,D14,$E$2:E14,E14,$G$2:G14,1)=1,1,0),0)</f>
        <v>0</v>
      </c>
      <c r="P14" s="12" t="n">
        <f aca="false">IF(AND(ISNUMBER(G14),K14="Yes",N14="POL"),IF(AND(G14&gt;=1,G14&lt;=3,COUNTIFS($A$2:A14,A14,$D$2:D14,D14,$E$2:E14,E14,$G$2:G14,G14)=1),1,0),0)</f>
        <v>0</v>
      </c>
    </row>
    <row r="15" customFormat="false" ht="15" hidden="false" customHeight="false" outlineLevel="0" collapsed="false">
      <c r="A15" s="12" t="s">
        <v>223</v>
      </c>
      <c r="B15" s="13" t="n">
        <v>46157</v>
      </c>
      <c r="C15" s="12" t="str">
        <f aca="false">IF(A15="","",IFERROR(INDEX(Events!$D$2:$D$67,MATCH(A15,Events!$A$2:$A$67,0)),"Unknown event ID"))</f>
        <v>Tour de Feminin</v>
      </c>
      <c r="D15" s="12" t="s">
        <v>373</v>
      </c>
      <c r="E15" s="12" t="s">
        <v>59</v>
      </c>
      <c r="F15" s="12" t="s">
        <v>56</v>
      </c>
      <c r="G15" s="12" t="n">
        <v>103</v>
      </c>
      <c r="H15" s="12" t="s">
        <v>366</v>
      </c>
      <c r="I15" s="12"/>
      <c r="J15" s="12" t="s">
        <v>61</v>
      </c>
      <c r="K15" s="12" t="str">
        <f aca="false">IF(A15="","",IFERROR(IF(INDEX(Events!$J$2:$J$67,MATCH(A15,Events!$A$2:$A$67,0))="Yes",IF(ISNUMBER(SEARCH("Criterium final",D15)),"No","Yes"),"No"),""))</f>
        <v>No</v>
      </c>
      <c r="L15" s="12"/>
      <c r="M15" s="12" t="n">
        <f aca="false">IF(OR(A15="",F15=""),0,IF(COUNTIFS($A$2:A15,A15,$F$2:F15,F15)=1,1,0))</f>
        <v>0</v>
      </c>
      <c r="N15" s="12" t="str">
        <f aca="false">IF(A15="","",IFERROR(INDEX(Events!$F$2:$F$67,MATCH(A15,Events!$A$2:$A$67,0)),""))</f>
        <v>CZE</v>
      </c>
      <c r="O15" s="12" t="n">
        <f aca="false">IF(AND(G15=1,K15="Yes",N15="POL"),IF(COUNTIFS($A$2:A15,A15,$D$2:D15,D15,$E$2:E15,E15,$G$2:G15,1)=1,1,0),0)</f>
        <v>0</v>
      </c>
      <c r="P15" s="12" t="n">
        <f aca="false">IF(AND(ISNUMBER(G15),K15="Yes",N15="POL"),IF(AND(G15&gt;=1,G15&lt;=3,COUNTIFS($A$2:A15,A15,$D$2:D15,D15,$E$2:E15,E15,$G$2:G15,G15)=1),1,0),0)</f>
        <v>0</v>
      </c>
    </row>
    <row r="16" customFormat="false" ht="15" hidden="false" customHeight="false" outlineLevel="0" collapsed="false">
      <c r="A16" s="12" t="s">
        <v>223</v>
      </c>
      <c r="B16" s="13" t="n">
        <v>46158</v>
      </c>
      <c r="C16" s="12" t="str">
        <f aca="false">IF(A16="","",IFERROR(INDEX(Events!$D$2:$D$67,MATCH(A16,Events!$A$2:$A$67,0)),"Unknown event ID"))</f>
        <v>Tour de Feminin</v>
      </c>
      <c r="D16" s="12" t="s">
        <v>374</v>
      </c>
      <c r="E16" s="12" t="s">
        <v>59</v>
      </c>
      <c r="F16" s="12" t="s">
        <v>56</v>
      </c>
      <c r="G16" s="12" t="n">
        <v>77</v>
      </c>
      <c r="H16" s="12" t="s">
        <v>366</v>
      </c>
      <c r="I16" s="12"/>
      <c r="J16" s="12" t="s">
        <v>61</v>
      </c>
      <c r="K16" s="12" t="str">
        <f aca="false">IF(A16="","",IFERROR(IF(INDEX(Events!$J$2:$J$67,MATCH(A16,Events!$A$2:$A$67,0))="Yes",IF(ISNUMBER(SEARCH("Criterium final",D16)),"No","Yes"),"No"),""))</f>
        <v>No</v>
      </c>
      <c r="L16" s="12"/>
      <c r="M16" s="12" t="n">
        <f aca="false">IF(OR(A16="",F16=""),0,IF(COUNTIFS($A$2:A16,A16,$F$2:F16,F16)=1,1,0))</f>
        <v>0</v>
      </c>
      <c r="N16" s="12" t="str">
        <f aca="false">IF(A16="","",IFERROR(INDEX(Events!$F$2:$F$67,MATCH(A16,Events!$A$2:$A$67,0)),""))</f>
        <v>CZE</v>
      </c>
      <c r="O16" s="12" t="n">
        <f aca="false">IF(AND(G16=1,K16="Yes",N16="POL"),IF(COUNTIFS($A$2:A16,A16,$D$2:D16,D16,$E$2:E16,E16,$G$2:G16,1)=1,1,0),0)</f>
        <v>0</v>
      </c>
      <c r="P16" s="12" t="n">
        <f aca="false">IF(AND(ISNUMBER(G16),K16="Yes",N16="POL"),IF(AND(G16&gt;=1,G16&lt;=3,COUNTIFS($A$2:A16,A16,$D$2:D16,D16,$E$2:E16,E16,$G$2:G16,G16)=1),1,0),0)</f>
        <v>0</v>
      </c>
    </row>
    <row r="17" customFormat="false" ht="15" hidden="false" customHeight="false" outlineLevel="0" collapsed="false">
      <c r="A17" s="12" t="s">
        <v>223</v>
      </c>
      <c r="B17" s="13" t="n">
        <v>46159</v>
      </c>
      <c r="C17" s="12" t="str">
        <f aca="false">IF(A17="","",IFERROR(INDEX(Events!$D$2:$D$67,MATCH(A17,Events!$A$2:$A$67,0)),"Unknown event ID"))</f>
        <v>Tour de Feminin</v>
      </c>
      <c r="D17" s="12" t="s">
        <v>375</v>
      </c>
      <c r="E17" s="12" t="s">
        <v>59</v>
      </c>
      <c r="F17" s="12" t="s">
        <v>56</v>
      </c>
      <c r="G17" s="12" t="n">
        <v>66</v>
      </c>
      <c r="H17" s="12" t="s">
        <v>366</v>
      </c>
      <c r="I17" s="12"/>
      <c r="J17" s="12" t="s">
        <v>61</v>
      </c>
      <c r="K17" s="12" t="str">
        <f aca="false">IF(A17="","",IFERROR(IF(INDEX(Events!$J$2:$J$67,MATCH(A17,Events!$A$2:$A$67,0))="Yes",IF(ISNUMBER(SEARCH("Criterium final",D17)),"No","Yes"),"No"),""))</f>
        <v>No</v>
      </c>
      <c r="L17" s="12"/>
      <c r="M17" s="12" t="n">
        <f aca="false">IF(OR(A17="",F17=""),0,IF(COUNTIFS($A$2:A17,A17,$F$2:F17,F17)=1,1,0))</f>
        <v>0</v>
      </c>
      <c r="N17" s="12" t="str">
        <f aca="false">IF(A17="","",IFERROR(INDEX(Events!$F$2:$F$67,MATCH(A17,Events!$A$2:$A$67,0)),""))</f>
        <v>CZE</v>
      </c>
      <c r="O17" s="12" t="n">
        <f aca="false">IF(AND(G17=1,K17="Yes",N17="POL"),IF(COUNTIFS($A$2:A17,A17,$D$2:D17,D17,$E$2:E17,E17,$G$2:G17,1)=1,1,0),0)</f>
        <v>0</v>
      </c>
      <c r="P17" s="12" t="n">
        <f aca="false">IF(AND(ISNUMBER(G17),K17="Yes",N17="POL"),IF(AND(G17&gt;=1,G17&lt;=3,COUNTIFS($A$2:A17,A17,$D$2:D17,D17,$E$2:E17,E17,$G$2:G17,G17)=1),1,0),0)</f>
        <v>0</v>
      </c>
    </row>
    <row r="18" customFormat="false" ht="15" hidden="false" customHeight="false" outlineLevel="0" collapsed="false">
      <c r="A18" s="12" t="s">
        <v>223</v>
      </c>
      <c r="B18" s="13" t="n">
        <v>46159</v>
      </c>
      <c r="C18" s="12" t="str">
        <f aca="false">IF(A18="","",IFERROR(INDEX(Events!$D$2:$D$67,MATCH(A18,Events!$A$2:$A$67,0)),"Unknown event ID"))</f>
        <v>Tour de Feminin</v>
      </c>
      <c r="D18" s="12" t="s">
        <v>376</v>
      </c>
      <c r="E18" s="12" t="s">
        <v>59</v>
      </c>
      <c r="F18" s="12" t="s">
        <v>56</v>
      </c>
      <c r="G18" s="12" t="n">
        <v>76</v>
      </c>
      <c r="H18" s="12" t="s">
        <v>366</v>
      </c>
      <c r="I18" s="12"/>
      <c r="J18" s="12" t="s">
        <v>61</v>
      </c>
      <c r="K18" s="12" t="str">
        <f aca="false">IF(A18="","",IFERROR(IF(INDEX(Events!$J$2:$J$67,MATCH(A18,Events!$A$2:$A$67,0))="Yes",IF(ISNUMBER(SEARCH("Criterium final",D18)),"No","Yes"),"No"),""))</f>
        <v>No</v>
      </c>
      <c r="L18" s="12"/>
      <c r="M18" s="12" t="n">
        <f aca="false">IF(OR(A18="",F18=""),0,IF(COUNTIFS($A$2:A18,A18,$F$2:F18,F18)=1,1,0))</f>
        <v>0</v>
      </c>
      <c r="N18" s="12" t="str">
        <f aca="false">IF(A18="","",IFERROR(INDEX(Events!$F$2:$F$67,MATCH(A18,Events!$A$2:$A$67,0)),""))</f>
        <v>CZE</v>
      </c>
      <c r="O18" s="12" t="n">
        <f aca="false">IF(AND(G18=1,K18="Yes",N18="POL"),IF(COUNTIFS($A$2:A18,A18,$D$2:D18,D18,$E$2:E18,E18,$G$2:G18,1)=1,1,0),0)</f>
        <v>0</v>
      </c>
      <c r="P18" s="12" t="n">
        <f aca="false">IF(AND(ISNUMBER(G18),K18="Yes",N18="POL"),IF(AND(G18&gt;=1,G18&lt;=3,COUNTIFS($A$2:A18,A18,$D$2:D18,D18,$E$2:E18,E18,$G$2:G18,G18)=1),1,0),0)</f>
        <v>0</v>
      </c>
    </row>
    <row r="19" customFormat="false" ht="15" hidden="false" customHeight="false" outlineLevel="0" collapsed="false">
      <c r="A19" s="12" t="s">
        <v>235</v>
      </c>
      <c r="B19" s="13" t="n">
        <v>46180</v>
      </c>
      <c r="C19" s="12" t="str">
        <f aca="false">IF(A19="","",IFERROR(INDEX(Events!$D$2:$D$67,MATCH(A19,Events!$A$2:$A$67,0)),"Unknown event ID"))</f>
        <v>Dwars door de Westhoek</v>
      </c>
      <c r="D19" s="12" t="s">
        <v>365</v>
      </c>
      <c r="E19" s="12" t="s">
        <v>59</v>
      </c>
      <c r="F19" s="12" t="s">
        <v>56</v>
      </c>
      <c r="G19" s="12" t="n">
        <v>18</v>
      </c>
      <c r="H19" s="12" t="s">
        <v>366</v>
      </c>
      <c r="I19" s="12"/>
      <c r="J19" s="12" t="s">
        <v>61</v>
      </c>
      <c r="K19" s="12" t="str">
        <f aca="false">IF(A19="","",IFERROR(IF(INDEX(Events!$J$2:$J$67,MATCH(A19,Events!$A$2:$A$67,0))="Yes",IF(ISNUMBER(SEARCH("Criterium final",D19)),"No","Yes"),"No"),""))</f>
        <v>No</v>
      </c>
      <c r="L19" s="12"/>
      <c r="M19" s="12" t="n">
        <f aca="false">IF(OR(A19="",F19=""),0,IF(COUNTIFS($A$2:A19,A19,$F$2:F19,F19)=1,1,0))</f>
        <v>1</v>
      </c>
      <c r="N19" s="12" t="str">
        <f aca="false">IF(A19="","",IFERROR(INDEX(Events!$F$2:$F$67,MATCH(A19,Events!$A$2:$A$67,0)),""))</f>
        <v>BEL</v>
      </c>
      <c r="O19" s="12" t="n">
        <f aca="false">IF(AND(G19=1,K19="Yes",N19="POL"),IF(COUNTIFS($A$2:A19,A19,$D$2:D19,D19,$E$2:E19,E19,$G$2:G19,1)=1,1,0),0)</f>
        <v>0</v>
      </c>
      <c r="P19" s="12" t="n">
        <f aca="false">IF(AND(ISNUMBER(G19),K19="Yes",N19="POL"),IF(AND(G19&gt;=1,G19&lt;=3,COUNTIFS($A$2:A19,A19,$D$2:D19,D19,$E$2:E19,E19,$G$2:G19,G19)=1),1,0),0)</f>
        <v>0</v>
      </c>
    </row>
    <row r="20" customFormat="false" ht="15" hidden="false" customHeight="false" outlineLevel="0" collapsed="false">
      <c r="A20" s="12" t="s">
        <v>243</v>
      </c>
      <c r="B20" s="13" t="n">
        <v>46194</v>
      </c>
      <c r="C20" s="12" t="str">
        <f aca="false">IF(A20="","",IFERROR(INDEX(Events!$D$2:$D$67,MATCH(A20,Events!$A$2:$A$67,0)),"Unknown event ID"))</f>
        <v>LOTTO Thüringen Women Cycling Challenge</v>
      </c>
      <c r="D20" s="12" t="s">
        <v>365</v>
      </c>
      <c r="E20" s="12" t="s">
        <v>59</v>
      </c>
      <c r="F20" s="12" t="s">
        <v>56</v>
      </c>
      <c r="G20" s="12" t="n">
        <v>29</v>
      </c>
      <c r="H20" s="12" t="s">
        <v>366</v>
      </c>
      <c r="I20" s="12"/>
      <c r="J20" s="12" t="s">
        <v>61</v>
      </c>
      <c r="K20" s="12" t="str">
        <f aca="false">IF(A20="","",IFERROR(IF(INDEX(Events!$J$2:$J$67,MATCH(A20,Events!$A$2:$A$67,0))="Yes",IF(ISNUMBER(SEARCH("Criterium final",D20)),"No","Yes"),"No"),""))</f>
        <v>No</v>
      </c>
      <c r="L20" s="12"/>
      <c r="M20" s="12" t="n">
        <f aca="false">IF(OR(A20="",F20=""),0,IF(COUNTIFS($A$2:A20,A20,$F$2:F20,F20)=1,1,0))</f>
        <v>1</v>
      </c>
      <c r="N20" s="12" t="str">
        <f aca="false">IF(A20="","",IFERROR(INDEX(Events!$F$2:$F$67,MATCH(A20,Events!$A$2:$A$67,0)),""))</f>
        <v>GER</v>
      </c>
      <c r="O20" s="12" t="n">
        <f aca="false">IF(AND(G20=1,K20="Yes",N20="POL"),IF(COUNTIFS($A$2:A20,A20,$D$2:D20,D20,$E$2:E20,E20,$G$2:G20,1)=1,1,0),0)</f>
        <v>0</v>
      </c>
      <c r="P20" s="12" t="n">
        <f aca="false">IF(AND(ISNUMBER(G20),K20="Yes",N20="POL"),IF(AND(G20&gt;=1,G20&lt;=3,COUNTIFS($A$2:A20,A20,$D$2:D20,D20,$E$2:E20,E20,$G$2:G20,G20)=1),1,0),0)</f>
        <v>0</v>
      </c>
    </row>
    <row r="21" customFormat="false" ht="15" hidden="false" customHeight="false" outlineLevel="0" collapsed="false">
      <c r="A21" s="12" t="s">
        <v>246</v>
      </c>
      <c r="B21" s="13" t="n">
        <v>46200</v>
      </c>
      <c r="C21" s="12" t="str">
        <f aca="false">IF(A21="","",IFERROR(INDEX(Events!$D$2:$D$67,MATCH(A21,Events!$A$2:$A$67,0)),"Unknown event ID"))</f>
        <v>Polish Road Championships (ITT + road race)</v>
      </c>
      <c r="D21" s="12" t="s">
        <v>367</v>
      </c>
      <c r="E21" s="12" t="s">
        <v>59</v>
      </c>
      <c r="F21" s="12" t="s">
        <v>56</v>
      </c>
      <c r="G21" s="12" t="n">
        <v>8</v>
      </c>
      <c r="H21" s="12" t="s">
        <v>366</v>
      </c>
      <c r="I21" s="12"/>
      <c r="J21" s="12" t="s">
        <v>61</v>
      </c>
      <c r="K21" s="12" t="str">
        <f aca="false">IF(A21="","",IFERROR(IF(INDEX(Events!$J$2:$J$67,MATCH(A21,Events!$A$2:$A$67,0))="Yes",IF(ISNUMBER(SEARCH("Criterium final",D21)),"No","Yes"),"No"),""))</f>
        <v>Yes</v>
      </c>
      <c r="L21" s="12"/>
      <c r="M21" s="12" t="n">
        <f aca="false">IF(OR(A21="",F21=""),0,IF(COUNTIFS($A$2:A21,A21,$F$2:F21,F21)=1,1,0))</f>
        <v>1</v>
      </c>
      <c r="N21" s="12" t="str">
        <f aca="false">IF(A21="","",IFERROR(INDEX(Events!$F$2:$F$67,MATCH(A21,Events!$A$2:$A$67,0)),""))</f>
        <v>POL</v>
      </c>
      <c r="O21" s="12" t="n">
        <f aca="false">IF(AND(G21=1,K21="Yes",N21="POL"),IF(COUNTIFS($A$2:A21,A21,$D$2:D21,D21,$E$2:E21,E21,$G$2:G21,1)=1,1,0),0)</f>
        <v>0</v>
      </c>
      <c r="P21" s="12" t="n">
        <f aca="false">IF(AND(ISNUMBER(G21),K21="Yes",N21="POL"),IF(AND(G21&gt;=1,G21&lt;=3,COUNTIFS($A$2:A21,A21,$D$2:D21,D21,$E$2:E21,E21,$G$2:G21,G21)=1),1,0),0)</f>
        <v>0</v>
      </c>
    </row>
    <row r="22" customFormat="false" ht="15" hidden="false" customHeight="false" outlineLevel="0" collapsed="false">
      <c r="A22" s="12" t="s">
        <v>252</v>
      </c>
      <c r="B22" s="13" t="n">
        <v>46214</v>
      </c>
      <c r="C22" s="12" t="str">
        <f aca="false">IF(A22="","",IFERROR(INDEX(Events!$D$2:$D$67,MATCH(A22,Events!$A$2:$A$67,0)),"Unknown event ID"))</f>
        <v>Respect Ladies Race Slovakia</v>
      </c>
      <c r="D22" s="12" t="s">
        <v>365</v>
      </c>
      <c r="E22" s="12" t="s">
        <v>59</v>
      </c>
      <c r="F22" s="12" t="s">
        <v>56</v>
      </c>
      <c r="G22" s="12" t="n">
        <v>30</v>
      </c>
      <c r="H22" s="12" t="s">
        <v>366</v>
      </c>
      <c r="I22" s="12"/>
      <c r="J22" s="12" t="s">
        <v>61</v>
      </c>
      <c r="K22" s="12" t="str">
        <f aca="false">IF(A22="","",IFERROR(IF(INDEX(Events!$J$2:$J$67,MATCH(A22,Events!$A$2:$A$67,0))="Yes",IF(ISNUMBER(SEARCH("Criterium final",D22)),"No","Yes"),"No"),""))</f>
        <v>No</v>
      </c>
      <c r="L22" s="12"/>
      <c r="M22" s="12" t="n">
        <f aca="false">IF(OR(A22="",F22=""),0,IF(COUNTIFS($A$2:A22,A22,$F$2:F22,F22)=1,1,0))</f>
        <v>1</v>
      </c>
      <c r="N22" s="12" t="str">
        <f aca="false">IF(A22="","",IFERROR(INDEX(Events!$F$2:$F$67,MATCH(A22,Events!$A$2:$A$67,0)),""))</f>
        <v>SVK</v>
      </c>
      <c r="O22" s="12" t="n">
        <f aca="false">IF(AND(G22=1,K22="Yes",N22="POL"),IF(COUNTIFS($A$2:A22,A22,$D$2:D22,D22,$E$2:E22,E22,$G$2:G22,1)=1,1,0),0)</f>
        <v>0</v>
      </c>
      <c r="P22" s="12" t="n">
        <f aca="false">IF(AND(ISNUMBER(G22),K22="Yes",N22="POL"),IF(AND(G22&gt;=1,G22&lt;=3,COUNTIFS($A$2:A22,A22,$D$2:D22,D22,$E$2:E22,E22,$G$2:G22,G22)=1),1,0),0)</f>
        <v>0</v>
      </c>
    </row>
    <row r="23" customFormat="false" ht="15" hidden="false" customHeight="false" outlineLevel="0" collapsed="false">
      <c r="A23" s="12" t="s">
        <v>255</v>
      </c>
      <c r="B23" s="13" t="n">
        <v>46227</v>
      </c>
      <c r="C23" s="12" t="str">
        <f aca="false">IF(A23="","",IFERROR(INDEX(Events!$D$2:$D$67,MATCH(A23,Events!$A$2:$A$67,0)),"Unknown event ID"))</f>
        <v>Tour de Pologne Women</v>
      </c>
      <c r="D23" s="12" t="s">
        <v>377</v>
      </c>
      <c r="E23" s="12" t="s">
        <v>59</v>
      </c>
      <c r="F23" s="12" t="s">
        <v>56</v>
      </c>
      <c r="G23" s="12" t="n">
        <v>5</v>
      </c>
      <c r="H23" s="12" t="s">
        <v>366</v>
      </c>
      <c r="I23" s="12"/>
      <c r="J23" s="12" t="s">
        <v>61</v>
      </c>
      <c r="K23" s="12" t="str">
        <f aca="false">IF(A23="","",IFERROR(IF(INDEX(Events!$J$2:$J$67,MATCH(A23,Events!$A$2:$A$67,0))="Yes",IF(ISNUMBER(SEARCH("Criterium final",D23)),"No","Yes"),"No"),""))</f>
        <v>No</v>
      </c>
      <c r="L23" s="12"/>
      <c r="M23" s="12" t="n">
        <f aca="false">IF(OR(A23="",F23=""),0,IF(COUNTIFS($A$2:A23,A23,$F$2:F23,F23)=1,1,0))</f>
        <v>1</v>
      </c>
      <c r="N23" s="12" t="str">
        <f aca="false">IF(A23="","",IFERROR(INDEX(Events!$F$2:$F$67,MATCH(A23,Events!$A$2:$A$67,0)),""))</f>
        <v>POL</v>
      </c>
      <c r="O23" s="12" t="n">
        <f aca="false">IF(AND(G23=1,K23="Yes",N23="POL"),IF(COUNTIFS($A$2:A23,A23,$D$2:D23,D23,$E$2:E23,E23,$G$2:G23,1)=1,1,0),0)</f>
        <v>0</v>
      </c>
      <c r="P23" s="12" t="n">
        <f aca="false">IF(AND(ISNUMBER(G23),K23="Yes",N23="POL"),IF(AND(G23&gt;=1,G23&lt;=3,COUNTIFS($A$2:A23,A23,$D$2:D23,D23,$E$2:E23,E23,$G$2:G23,G23)=1),1,0),0)</f>
        <v>0</v>
      </c>
    </row>
    <row r="24" customFormat="false" ht="15" hidden="false" customHeight="false" outlineLevel="0" collapsed="false">
      <c r="A24" s="12" t="s">
        <v>255</v>
      </c>
      <c r="B24" s="13" t="n">
        <v>46228</v>
      </c>
      <c r="C24" s="12" t="str">
        <f aca="false">IF(A24="","",IFERROR(INDEX(Events!$D$2:$D$67,MATCH(A24,Events!$A$2:$A$67,0)),"Unknown event ID"))</f>
        <v>Tour de Pologne Women</v>
      </c>
      <c r="D24" s="12" t="s">
        <v>373</v>
      </c>
      <c r="E24" s="12" t="s">
        <v>59</v>
      </c>
      <c r="F24" s="12" t="s">
        <v>56</v>
      </c>
      <c r="G24" s="12" t="n">
        <v>8</v>
      </c>
      <c r="H24" s="12" t="s">
        <v>366</v>
      </c>
      <c r="I24" s="12"/>
      <c r="J24" s="12" t="s">
        <v>61</v>
      </c>
      <c r="K24" s="12" t="str">
        <f aca="false">IF(A24="","",IFERROR(IF(INDEX(Events!$J$2:$J$67,MATCH(A24,Events!$A$2:$A$67,0))="Yes",IF(ISNUMBER(SEARCH("Criterium final",D24)),"No","Yes"),"No"),""))</f>
        <v>No</v>
      </c>
      <c r="L24" s="12"/>
      <c r="M24" s="12" t="n">
        <f aca="false">IF(OR(A24="",F24=""),0,IF(COUNTIFS($A$2:A24,A24,$F$2:F24,F24)=1,1,0))</f>
        <v>0</v>
      </c>
      <c r="N24" s="12" t="str">
        <f aca="false">IF(A24="","",IFERROR(INDEX(Events!$F$2:$F$67,MATCH(A24,Events!$A$2:$A$67,0)),""))</f>
        <v>POL</v>
      </c>
      <c r="O24" s="12" t="n">
        <f aca="false">IF(AND(G24=1,K24="Yes",N24="POL"),IF(COUNTIFS($A$2:A24,A24,$D$2:D24,D24,$E$2:E24,E24,$G$2:G24,1)=1,1,0),0)</f>
        <v>0</v>
      </c>
      <c r="P24" s="12" t="n">
        <f aca="false">IF(AND(ISNUMBER(G24),K24="Yes",N24="POL"),IF(AND(G24&gt;=1,G24&lt;=3,COUNTIFS($A$2:A24,A24,$D$2:D24,D24,$E$2:E24,E24,$G$2:G24,G24)=1),1,0),0)</f>
        <v>0</v>
      </c>
    </row>
    <row r="25" customFormat="false" ht="15" hidden="false" customHeight="false" outlineLevel="0" collapsed="false">
      <c r="A25" s="12" t="s">
        <v>255</v>
      </c>
      <c r="B25" s="13" t="n">
        <v>46229</v>
      </c>
      <c r="C25" s="12" t="str">
        <f aca="false">IF(A25="","",IFERROR(INDEX(Events!$D$2:$D$67,MATCH(A25,Events!$A$2:$A$67,0)),"Unknown event ID"))</f>
        <v>Tour de Pologne Women</v>
      </c>
      <c r="D25" s="12" t="s">
        <v>374</v>
      </c>
      <c r="E25" s="12" t="s">
        <v>59</v>
      </c>
      <c r="F25" s="12" t="s">
        <v>56</v>
      </c>
      <c r="G25" s="12" t="n">
        <v>13</v>
      </c>
      <c r="H25" s="12" t="s">
        <v>366</v>
      </c>
      <c r="I25" s="12"/>
      <c r="J25" s="12" t="s">
        <v>61</v>
      </c>
      <c r="K25" s="12" t="str">
        <f aca="false">IF(A25="","",IFERROR(IF(INDEX(Events!$J$2:$J$67,MATCH(A25,Events!$A$2:$A$67,0))="Yes",IF(ISNUMBER(SEARCH("Criterium final",D25)),"No","Yes"),"No"),""))</f>
        <v>No</v>
      </c>
      <c r="L25" s="12"/>
      <c r="M25" s="12" t="n">
        <f aca="false">IF(OR(A25="",F25=""),0,IF(COUNTIFS($A$2:A25,A25,$F$2:F25,F25)=1,1,0))</f>
        <v>0</v>
      </c>
      <c r="N25" s="12" t="str">
        <f aca="false">IF(A25="","",IFERROR(INDEX(Events!$F$2:$F$67,MATCH(A25,Events!$A$2:$A$67,0)),""))</f>
        <v>POL</v>
      </c>
      <c r="O25" s="12" t="n">
        <f aca="false">IF(AND(G25=1,K25="Yes",N25="POL"),IF(COUNTIFS($A$2:A25,A25,$D$2:D25,D25,$E$2:E25,E25,$G$2:G25,1)=1,1,0),0)</f>
        <v>0</v>
      </c>
      <c r="P25" s="12" t="n">
        <f aca="false">IF(AND(ISNUMBER(G25),K25="Yes",N25="POL"),IF(AND(G25&gt;=1,G25&lt;=3,COUNTIFS($A$2:A25,A25,$D$2:D25,D25,$E$2:E25,E25,$G$2:G25,G25)=1),1,0),0)</f>
        <v>0</v>
      </c>
    </row>
    <row r="26" customFormat="false" ht="15" hidden="false" customHeight="false" outlineLevel="0" collapsed="false">
      <c r="A26" s="12" t="s">
        <v>255</v>
      </c>
      <c r="B26" s="13" t="n">
        <v>46229</v>
      </c>
      <c r="C26" s="12" t="str">
        <f aca="false">IF(A26="","",IFERROR(INDEX(Events!$D$2:$D$67,MATCH(A26,Events!$A$2:$A$67,0)),"Unknown event ID"))</f>
        <v>Tour de Pologne Women</v>
      </c>
      <c r="D26" s="12" t="s">
        <v>376</v>
      </c>
      <c r="E26" s="12" t="s">
        <v>59</v>
      </c>
      <c r="F26" s="12" t="s">
        <v>56</v>
      </c>
      <c r="G26" s="12" t="n">
        <v>9</v>
      </c>
      <c r="H26" s="12" t="s">
        <v>366</v>
      </c>
      <c r="I26" s="12"/>
      <c r="J26" s="12" t="s">
        <v>61</v>
      </c>
      <c r="K26" s="12" t="str">
        <f aca="false">IF(A26="","",IFERROR(IF(INDEX(Events!$J$2:$J$67,MATCH(A26,Events!$A$2:$A$67,0))="Yes",IF(ISNUMBER(SEARCH("Criterium final",D26)),"No","Yes"),"No"),""))</f>
        <v>No</v>
      </c>
      <c r="L26" s="12"/>
      <c r="M26" s="12" t="n">
        <f aca="false">IF(OR(A26="",F26=""),0,IF(COUNTIFS($A$2:A26,A26,$F$2:F26,F26)=1,1,0))</f>
        <v>0</v>
      </c>
      <c r="N26" s="12" t="str">
        <f aca="false">IF(A26="","",IFERROR(INDEX(Events!$F$2:$F$67,MATCH(A26,Events!$A$2:$A$67,0)),""))</f>
        <v>POL</v>
      </c>
      <c r="O26" s="12" t="n">
        <f aca="false">IF(AND(G26=1,K26="Yes",N26="POL"),IF(COUNTIFS($A$2:A26,A26,$D$2:D26,D26,$E$2:E26,E26,$G$2:G26,1)=1,1,0),0)</f>
        <v>0</v>
      </c>
      <c r="P26" s="12" t="n">
        <f aca="false">IF(AND(ISNUMBER(G26),K26="Yes",N26="POL"),IF(AND(G26&gt;=1,G26&lt;=3,COUNTIFS($A$2:A26,A26,$D$2:D26,D26,$E$2:E26,E26,$G$2:G26,G26)=1),1,0),0)</f>
        <v>0</v>
      </c>
    </row>
    <row r="27" customFormat="false" ht="15" hidden="false" customHeight="false" outlineLevel="0" collapsed="false">
      <c r="A27" s="12" t="s">
        <v>270</v>
      </c>
      <c r="B27" s="13" t="n">
        <v>46235</v>
      </c>
      <c r="C27" s="12" t="str">
        <f aca="false">IF(A27="","",IFERROR(INDEX(Events!$D$2:$D$67,MATCH(A27,Events!$A$2:$A$67,0)),"Unknown event ID"))</f>
        <v>Polish Elite Track Championships</v>
      </c>
      <c r="D27" s="12" t="s">
        <v>369</v>
      </c>
      <c r="E27" s="12" t="s">
        <v>59</v>
      </c>
      <c r="F27" s="12" t="s">
        <v>56</v>
      </c>
      <c r="G27" s="12" t="n">
        <v>1</v>
      </c>
      <c r="H27" s="12" t="s">
        <v>366</v>
      </c>
      <c r="I27" s="12" t="s">
        <v>378</v>
      </c>
      <c r="J27" s="12" t="s">
        <v>379</v>
      </c>
      <c r="K27" s="12" t="str">
        <f aca="false">IF(A27="","",IFERROR(IF(INDEX(Events!$J$2:$J$67,MATCH(A27,Events!$A$2:$A$67,0))="Yes",IF(ISNUMBER(SEARCH("Criterium final",D27)),"No","Yes"),"No"),""))</f>
        <v>Yes</v>
      </c>
      <c r="L27" s="12"/>
      <c r="M27" s="12" t="n">
        <f aca="false">IF(OR(A27="",F27=""),0,IF(COUNTIFS($A$2:A27,A27,$F$2:F27,F27)=1,1,0))</f>
        <v>1</v>
      </c>
      <c r="N27" s="12" t="str">
        <f aca="false">IF(A27="","",IFERROR(INDEX(Events!$F$2:$F$67,MATCH(A27,Events!$A$2:$A$67,0)),""))</f>
        <v>POL</v>
      </c>
      <c r="O27" s="12" t="n">
        <f aca="false">IF(AND(G27=1,K27="Yes",N27="POL"),IF(COUNTIFS($A$2:A27,A27,$D$2:D27,D27,$E$2:E27,E27,$G$2:G27,1)=1,1,0),0)</f>
        <v>1</v>
      </c>
      <c r="P27" s="12" t="n">
        <f aca="false">IF(AND(ISNUMBER(G27),K27="Yes",N27="POL"),IF(AND(G27&gt;=1,G27&lt;=3,COUNTIFS($A$2:A27,A27,$D$2:D27,D27,$E$2:E27,E27,$G$2:G27,G27)=1),1,0),0)</f>
        <v>1</v>
      </c>
    </row>
    <row r="28" customFormat="false" ht="15" hidden="false" customHeight="false" outlineLevel="0" collapsed="false">
      <c r="A28" s="12" t="s">
        <v>270</v>
      </c>
      <c r="B28" s="13" t="n">
        <v>46236</v>
      </c>
      <c r="C28" s="12" t="str">
        <f aca="false">IF(A28="","",IFERROR(INDEX(Events!$D$2:$D$67,MATCH(A28,Events!$A$2:$A$67,0)),"Unknown event ID"))</f>
        <v>Polish Elite Track Championships</v>
      </c>
      <c r="D28" s="12" t="s">
        <v>380</v>
      </c>
      <c r="E28" s="12" t="s">
        <v>59</v>
      </c>
      <c r="F28" s="12" t="s">
        <v>56</v>
      </c>
      <c r="G28" s="12" t="n">
        <v>3</v>
      </c>
      <c r="H28" s="12" t="s">
        <v>366</v>
      </c>
      <c r="I28" s="12"/>
      <c r="J28" s="12" t="s">
        <v>381</v>
      </c>
      <c r="K28" s="12" t="str">
        <f aca="false">IF(A28="","",IFERROR(IF(INDEX(Events!$J$2:$J$67,MATCH(A28,Events!$A$2:$A$67,0))="Yes",IF(ISNUMBER(SEARCH("Criterium final",D28)),"No","Yes"),"No"),""))</f>
        <v>Yes</v>
      </c>
      <c r="L28" s="12"/>
      <c r="M28" s="12" t="n">
        <f aca="false">IF(OR(A28="",F28=""),0,IF(COUNTIFS($A$2:A28,A28,$F$2:F28,F28)=1,1,0))</f>
        <v>0</v>
      </c>
      <c r="N28" s="12" t="str">
        <f aca="false">IF(A28="","",IFERROR(INDEX(Events!$F$2:$F$67,MATCH(A28,Events!$A$2:$A$67,0)),""))</f>
        <v>POL</v>
      </c>
      <c r="O28" s="12" t="n">
        <f aca="false">IF(AND(G28=1,K28="Yes",N28="POL"),IF(COUNTIFS($A$2:A28,A28,$D$2:D28,D28,$E$2:E28,E28,$G$2:G28,1)=1,1,0),0)</f>
        <v>0</v>
      </c>
      <c r="P28" s="12" t="n">
        <f aca="false">IF(AND(ISNUMBER(G28),K28="Yes",N28="POL"),IF(AND(G28&gt;=1,G28&lt;=3,COUNTIFS($A$2:A28,A28,$D$2:D28,D28,$E$2:E28,E28,$G$2:G28,G28)=1),1,0),0)</f>
        <v>1</v>
      </c>
    </row>
    <row r="29" customFormat="false" ht="15" hidden="false" customHeight="false" outlineLevel="0" collapsed="false">
      <c r="A29" s="12" t="s">
        <v>270</v>
      </c>
      <c r="B29" s="13" t="n">
        <v>46237</v>
      </c>
      <c r="C29" s="12" t="str">
        <f aca="false">IF(A29="","",IFERROR(INDEX(Events!$D$2:$D$67,MATCH(A29,Events!$A$2:$A$67,0)),"Unknown event ID"))</f>
        <v>Polish Elite Track Championships</v>
      </c>
      <c r="D29" s="12" t="s">
        <v>370</v>
      </c>
      <c r="E29" s="12" t="s">
        <v>59</v>
      </c>
      <c r="F29" s="12" t="s">
        <v>56</v>
      </c>
      <c r="G29" s="12" t="n">
        <v>2</v>
      </c>
      <c r="H29" s="12" t="s">
        <v>366</v>
      </c>
      <c r="I29" s="12" t="s">
        <v>382</v>
      </c>
      <c r="J29" s="12" t="s">
        <v>383</v>
      </c>
      <c r="K29" s="12" t="str">
        <f aca="false">IF(A29="","",IFERROR(IF(INDEX(Events!$J$2:$J$67,MATCH(A29,Events!$A$2:$A$67,0))="Yes",IF(ISNUMBER(SEARCH("Criterium final",D29)),"No","Yes"),"No"),""))</f>
        <v>Yes</v>
      </c>
      <c r="L29" s="12"/>
      <c r="M29" s="12" t="n">
        <f aca="false">IF(OR(A29="",F29=""),0,IF(COUNTIFS($A$2:A29,A29,$F$2:F29,F29)=1,1,0))</f>
        <v>0</v>
      </c>
      <c r="N29" s="12" t="str">
        <f aca="false">IF(A29="","",IFERROR(INDEX(Events!$F$2:$F$67,MATCH(A29,Events!$A$2:$A$67,0)),""))</f>
        <v>POL</v>
      </c>
      <c r="O29" s="12" t="n">
        <f aca="false">IF(AND(G29=1,K29="Yes",N29="POL"),IF(COUNTIFS($A$2:A29,A29,$D$2:D29,D29,$E$2:E29,E29,$G$2:G29,1)=1,1,0),0)</f>
        <v>0</v>
      </c>
      <c r="P29" s="12" t="n">
        <f aca="false">IF(AND(ISNUMBER(G29),K29="Yes",N29="POL"),IF(AND(G29&gt;=1,G29&lt;=3,COUNTIFS($A$2:A29,A29,$D$2:D29,D29,$E$2:E29,E29,$G$2:G29,G29)=1),1,0),0)</f>
        <v>1</v>
      </c>
    </row>
    <row r="30" customFormat="false" ht="15" hidden="false" customHeight="false" outlineLevel="0" collapsed="false">
      <c r="A30" s="12" t="s">
        <v>339</v>
      </c>
      <c r="B30" s="13" t="n">
        <v>46254</v>
      </c>
      <c r="C30" s="12" t="str">
        <f aca="false">IF(A30="","",IFERROR(INDEX(Events!$D$2:$D$67,MATCH(A30,Events!$A$2:$A$67,0)),"Unknown event ID"))</f>
        <v>GP Lucien Van Impe</v>
      </c>
      <c r="D30" s="12" t="s">
        <v>365</v>
      </c>
      <c r="E30" s="12" t="s">
        <v>59</v>
      </c>
      <c r="F30" s="12" t="s">
        <v>56</v>
      </c>
      <c r="G30" s="12" t="n">
        <v>14</v>
      </c>
      <c r="H30" s="12" t="s">
        <v>366</v>
      </c>
      <c r="I30" s="12"/>
      <c r="J30" s="12" t="s">
        <v>61</v>
      </c>
      <c r="K30" s="12" t="str">
        <f aca="false">IF(A30="","",IFERROR(IF(INDEX(Events!$J$2:$J$67,MATCH(A30,Events!$A$2:$A$67,0))="Yes",IF(ISNUMBER(SEARCH("Criterium final",D30)),"No","Yes"),"No"),""))</f>
        <v>No</v>
      </c>
      <c r="L30" s="12"/>
      <c r="M30" s="12" t="n">
        <f aca="false">IF(OR(A30="",F30=""),0,IF(COUNTIFS($A$2:A30,A30,$F$2:F30,F30)=1,1,0))</f>
        <v>1</v>
      </c>
      <c r="N30" s="12" t="str">
        <f aca="false">IF(A30="","",IFERROR(INDEX(Events!$F$2:$F$67,MATCH(A30,Events!$A$2:$A$67,0)),""))</f>
        <v>BEL</v>
      </c>
      <c r="O30" s="12" t="n">
        <f aca="false">IF(AND(G30=1,K30="Yes",N30="POL"),IF(COUNTIFS($A$2:A30,A30,$D$2:D30,D30,$E$2:E30,E30,$G$2:G30,1)=1,1,0),0)</f>
        <v>0</v>
      </c>
      <c r="P30" s="12" t="n">
        <f aca="false">IF(AND(ISNUMBER(G30),K30="Yes",N30="POL"),IF(AND(G30&gt;=1,G30&lt;=3,COUNTIFS($A$2:A30,A30,$D$2:D30,D30,$E$2:E30,E30,$G$2:G30,G30)=1),1,0),0)</f>
        <v>0</v>
      </c>
    </row>
    <row r="31" customFormat="false" ht="15" hidden="false" customHeight="false" outlineLevel="0" collapsed="false">
      <c r="A31" s="12" t="s">
        <v>341</v>
      </c>
      <c r="B31" s="13" t="n">
        <v>46255</v>
      </c>
      <c r="C31" s="12" t="str">
        <f aca="false">IF(A31="","",IFERROR(INDEX(Events!$D$2:$D$67,MATCH(A31,Events!$A$2:$A$67,0)),"Unknown event ID"))</f>
        <v>Konvert Kortrijk Koerse</v>
      </c>
      <c r="D31" s="12" t="s">
        <v>365</v>
      </c>
      <c r="E31" s="12" t="s">
        <v>59</v>
      </c>
      <c r="F31" s="12" t="s">
        <v>56</v>
      </c>
      <c r="G31" s="12" t="n">
        <v>9</v>
      </c>
      <c r="H31" s="12" t="s">
        <v>366</v>
      </c>
      <c r="I31" s="12"/>
      <c r="J31" s="12" t="s">
        <v>61</v>
      </c>
      <c r="K31" s="12" t="str">
        <f aca="false">IF(A31="","",IFERROR(IF(INDEX(Events!$J$2:$J$67,MATCH(A31,Events!$A$2:$A$67,0))="Yes",IF(ISNUMBER(SEARCH("Criterium final",D31)),"No","Yes"),"No"),""))</f>
        <v>No</v>
      </c>
      <c r="L31" s="12"/>
      <c r="M31" s="12" t="n">
        <f aca="false">IF(OR(A31="",F31=""),0,IF(COUNTIFS($A$2:A31,A31,$F$2:F31,F31)=1,1,0))</f>
        <v>1</v>
      </c>
      <c r="N31" s="12" t="str">
        <f aca="false">IF(A31="","",IFERROR(INDEX(Events!$F$2:$F$67,MATCH(A31,Events!$A$2:$A$67,0)),""))</f>
        <v>BEL</v>
      </c>
      <c r="O31" s="12" t="n">
        <f aca="false">IF(AND(G31=1,K31="Yes",N31="POL"),IF(COUNTIFS($A$2:A31,A31,$D$2:D31,D31,$E$2:E31,E31,$G$2:G31,1)=1,1,0),0)</f>
        <v>0</v>
      </c>
      <c r="P31" s="12" t="n">
        <f aca="false">IF(AND(ISNUMBER(G31),K31="Yes",N31="POL"),IF(AND(G31&gt;=1,G31&lt;=3,COUNTIFS($A$2:A31,A31,$D$2:D31,D31,$E$2:E31,E31,$G$2:G31,G31)=1),1,0),0)</f>
        <v>0</v>
      </c>
    </row>
    <row r="32" customFormat="false" ht="15" hidden="false" customHeight="false" outlineLevel="0" collapsed="false">
      <c r="A32" s="12" t="s">
        <v>150</v>
      </c>
      <c r="B32" s="13" t="n">
        <v>46055</v>
      </c>
      <c r="C32" s="12" t="str">
        <f aca="false">IF(A32="","",IFERROR(INDEX(Events!$D$2:$D$67,MATCH(A32,Events!$A$2:$A$67,0)),"Unknown event ID"))</f>
        <v>UEC Track Elite European Championships</v>
      </c>
      <c r="D32" s="12" t="s">
        <v>369</v>
      </c>
      <c r="E32" s="12" t="s">
        <v>59</v>
      </c>
      <c r="F32" s="12" t="s">
        <v>62</v>
      </c>
      <c r="G32" s="12" t="n">
        <v>9</v>
      </c>
      <c r="H32" s="12" t="s">
        <v>366</v>
      </c>
      <c r="I32" s="12"/>
      <c r="J32" s="12" t="s">
        <v>64</v>
      </c>
      <c r="K32" s="12" t="str">
        <f aca="false">IF(A32="","",IFERROR(IF(INDEX(Events!$J$2:$J$67,MATCH(A32,Events!$A$2:$A$67,0))="Yes",IF(ISNUMBER(SEARCH("Criterium final",D32)),"No","Yes"),"No"),""))</f>
        <v>No</v>
      </c>
      <c r="L32" s="12"/>
      <c r="M32" s="12" t="n">
        <f aca="false">IF(OR(A32="",F32=""),0,IF(COUNTIFS($A$2:A32,A32,$F$2:F32,F32)=1,1,0))</f>
        <v>1</v>
      </c>
      <c r="N32" s="12" t="str">
        <f aca="false">IF(A32="","",IFERROR(INDEX(Events!$F$2:$F$67,MATCH(A32,Events!$A$2:$A$67,0)),""))</f>
        <v>TUR</v>
      </c>
      <c r="O32" s="12" t="n">
        <f aca="false">IF(AND(G32=1,K32="Yes",N32="POL"),IF(COUNTIFS($A$2:A32,A32,$D$2:D32,D32,$E$2:E32,E32,$G$2:G32,1)=1,1,0),0)</f>
        <v>0</v>
      </c>
      <c r="P32" s="12" t="n">
        <f aca="false">IF(AND(ISNUMBER(G32),K32="Yes",N32="POL"),IF(AND(G32&gt;=1,G32&lt;=3,COUNTIFS($A$2:A32,A32,$D$2:D32,D32,$E$2:E32,E32,$G$2:G32,G32)=1),1,0),0)</f>
        <v>0</v>
      </c>
    </row>
    <row r="33" customFormat="false" ht="15" hidden="false" customHeight="false" outlineLevel="0" collapsed="false">
      <c r="A33" s="12" t="s">
        <v>150</v>
      </c>
      <c r="B33" s="13" t="n">
        <v>46057</v>
      </c>
      <c r="C33" s="12" t="str">
        <f aca="false">IF(A33="","",IFERROR(INDEX(Events!$D$2:$D$67,MATCH(A33,Events!$A$2:$A$67,0)),"Unknown event ID"))</f>
        <v>UEC Track Elite European Championships</v>
      </c>
      <c r="D33" s="12" t="s">
        <v>384</v>
      </c>
      <c r="E33" s="12" t="s">
        <v>59</v>
      </c>
      <c r="F33" s="12" t="s">
        <v>62</v>
      </c>
      <c r="G33" s="12" t="n">
        <v>17</v>
      </c>
      <c r="H33" s="12" t="s">
        <v>366</v>
      </c>
      <c r="I33" s="12"/>
      <c r="J33" s="12" t="s">
        <v>64</v>
      </c>
      <c r="K33" s="12" t="str">
        <f aca="false">IF(A33="","",IFERROR(IF(INDEX(Events!$J$2:$J$67,MATCH(A33,Events!$A$2:$A$67,0))="Yes",IF(ISNUMBER(SEARCH("Criterium final",D33)),"No","Yes"),"No"),""))</f>
        <v>No</v>
      </c>
      <c r="L33" s="12"/>
      <c r="M33" s="12" t="n">
        <f aca="false">IF(OR(A33="",F33=""),0,IF(COUNTIFS($A$2:A33,A33,$F$2:F33,F33)=1,1,0))</f>
        <v>0</v>
      </c>
      <c r="N33" s="12" t="str">
        <f aca="false">IF(A33="","",IFERROR(INDEX(Events!$F$2:$F$67,MATCH(A33,Events!$A$2:$A$67,0)),""))</f>
        <v>TUR</v>
      </c>
      <c r="O33" s="12" t="n">
        <f aca="false">IF(AND(G33=1,K33="Yes",N33="POL"),IF(COUNTIFS($A$2:A33,A33,$D$2:D33,D33,$E$2:E33,E33,$G$2:G33,1)=1,1,0),0)</f>
        <v>0</v>
      </c>
      <c r="P33" s="12" t="n">
        <f aca="false">IF(AND(ISNUMBER(G33),K33="Yes",N33="POL"),IF(AND(G33&gt;=1,G33&lt;=3,COUNTIFS($A$2:A33,A33,$D$2:D33,D33,$E$2:E33,E33,$G$2:G33,G33)=1),1,0),0)</f>
        <v>0</v>
      </c>
    </row>
    <row r="34" customFormat="false" ht="15" hidden="false" customHeight="false" outlineLevel="0" collapsed="false">
      <c r="A34" s="12" t="s">
        <v>166</v>
      </c>
      <c r="B34" s="13" t="n">
        <v>46085</v>
      </c>
      <c r="C34" s="12" t="str">
        <f aca="false">IF(A34="","",IFERROR(INDEX(Events!$D$2:$D$67,MATCH(A34,Events!$A$2:$A$67,0)),"Unknown event ID"))</f>
        <v>UMAG Classic Ladies</v>
      </c>
      <c r="D34" s="12" t="s">
        <v>365</v>
      </c>
      <c r="E34" s="12" t="s">
        <v>59</v>
      </c>
      <c r="F34" s="12" t="s">
        <v>62</v>
      </c>
      <c r="G34" s="12" t="n">
        <v>67</v>
      </c>
      <c r="H34" s="12" t="s">
        <v>366</v>
      </c>
      <c r="I34" s="12"/>
      <c r="J34" s="12" t="s">
        <v>64</v>
      </c>
      <c r="K34" s="12" t="str">
        <f aca="false">IF(A34="","",IFERROR(IF(INDEX(Events!$J$2:$J$67,MATCH(A34,Events!$A$2:$A$67,0))="Yes",IF(ISNUMBER(SEARCH("Criterium final",D34)),"No","Yes"),"No"),""))</f>
        <v>No</v>
      </c>
      <c r="L34" s="12"/>
      <c r="M34" s="12" t="n">
        <f aca="false">IF(OR(A34="",F34=""),0,IF(COUNTIFS($A$2:A34,A34,$F$2:F34,F34)=1,1,0))</f>
        <v>1</v>
      </c>
      <c r="N34" s="12" t="str">
        <f aca="false">IF(A34="","",IFERROR(INDEX(Events!$F$2:$F$67,MATCH(A34,Events!$A$2:$A$67,0)),""))</f>
        <v>CRO</v>
      </c>
      <c r="O34" s="12" t="n">
        <f aca="false">IF(AND(G34=1,K34="Yes",N34="POL"),IF(COUNTIFS($A$2:A34,A34,$D$2:D34,D34,$E$2:E34,E34,$G$2:G34,1)=1,1,0),0)</f>
        <v>0</v>
      </c>
      <c r="P34" s="12" t="n">
        <f aca="false">IF(AND(ISNUMBER(G34),K34="Yes",N34="POL"),IF(AND(G34&gt;=1,G34&lt;=3,COUNTIFS($A$2:A34,A34,$D$2:D34,D34,$E$2:E34,E34,$G$2:G34,G34)=1),1,0),0)</f>
        <v>0</v>
      </c>
    </row>
    <row r="35" customFormat="false" ht="15" hidden="false" customHeight="false" outlineLevel="0" collapsed="false">
      <c r="A35" s="12" t="s">
        <v>185</v>
      </c>
      <c r="B35" s="13" t="n">
        <v>46118</v>
      </c>
      <c r="C35" s="12" t="str">
        <f aca="false">IF(A35="","",IFERROR(INDEX(Events!$D$2:$D$67,MATCH(A35,Events!$A$2:$A$67,0)),"Unknown event ID"))</f>
        <v>Ronde de Mouscron</v>
      </c>
      <c r="D35" s="12" t="s">
        <v>365</v>
      </c>
      <c r="E35" s="12" t="s">
        <v>59</v>
      </c>
      <c r="F35" s="12" t="s">
        <v>62</v>
      </c>
      <c r="G35" s="12" t="n">
        <v>83</v>
      </c>
      <c r="H35" s="12" t="s">
        <v>366</v>
      </c>
      <c r="I35" s="12"/>
      <c r="J35" s="12" t="s">
        <v>64</v>
      </c>
      <c r="K35" s="12" t="str">
        <f aca="false">IF(A35="","",IFERROR(IF(INDEX(Events!$J$2:$J$67,MATCH(A35,Events!$A$2:$A$67,0))="Yes",IF(ISNUMBER(SEARCH("Criterium final",D35)),"No","Yes"),"No"),""))</f>
        <v>No</v>
      </c>
      <c r="L35" s="12"/>
      <c r="M35" s="12" t="n">
        <f aca="false">IF(OR(A35="",F35=""),0,IF(COUNTIFS($A$2:A35,A35,$F$2:F35,F35)=1,1,0))</f>
        <v>1</v>
      </c>
      <c r="N35" s="12" t="str">
        <f aca="false">IF(A35="","",IFERROR(INDEX(Events!$F$2:$F$67,MATCH(A35,Events!$A$2:$A$67,0)),""))</f>
        <v>BEL</v>
      </c>
      <c r="O35" s="12" t="n">
        <f aca="false">IF(AND(G35=1,K35="Yes",N35="POL"),IF(COUNTIFS($A$2:A35,A35,$D$2:D35,D35,$E$2:E35,E35,$G$2:G35,1)=1,1,0),0)</f>
        <v>0</v>
      </c>
      <c r="P35" s="12" t="n">
        <f aca="false">IF(AND(ISNUMBER(G35),K35="Yes",N35="POL"),IF(AND(G35&gt;=1,G35&lt;=3,COUNTIFS($A$2:A35,A35,$D$2:D35,D35,$E$2:E35,E35,$G$2:G35,G35)=1),1,0),0)</f>
        <v>0</v>
      </c>
    </row>
    <row r="36" customFormat="false" ht="15" hidden="false" customHeight="false" outlineLevel="0" collapsed="false">
      <c r="A36" s="12" t="s">
        <v>188</v>
      </c>
      <c r="B36" s="13" t="n">
        <v>46120</v>
      </c>
      <c r="C36" s="12" t="str">
        <f aca="false">IF(A36="","",IFERROR(INDEX(Events!$D$2:$D$67,MATCH(A36,Events!$A$2:$A$67,0)),"Unknown event ID"))</f>
        <v>Scheldeprijs Vrouwen Elite</v>
      </c>
      <c r="D36" s="12" t="s">
        <v>365</v>
      </c>
      <c r="E36" s="12" t="s">
        <v>59</v>
      </c>
      <c r="F36" s="12" t="s">
        <v>62</v>
      </c>
      <c r="G36" s="12" t="n">
        <v>61</v>
      </c>
      <c r="H36" s="12" t="s">
        <v>366</v>
      </c>
      <c r="I36" s="12"/>
      <c r="J36" s="12" t="s">
        <v>64</v>
      </c>
      <c r="K36" s="12" t="str">
        <f aca="false">IF(A36="","",IFERROR(IF(INDEX(Events!$J$2:$J$67,MATCH(A36,Events!$A$2:$A$67,0))="Yes",IF(ISNUMBER(SEARCH("Criterium final",D36)),"No","Yes"),"No"),""))</f>
        <v>No</v>
      </c>
      <c r="L36" s="12"/>
      <c r="M36" s="12" t="n">
        <f aca="false">IF(OR(A36="",F36=""),0,IF(COUNTIFS($A$2:A36,A36,$F$2:F36,F36)=1,1,0))</f>
        <v>1</v>
      </c>
      <c r="N36" s="12" t="str">
        <f aca="false">IF(A36="","",IFERROR(INDEX(Events!$F$2:$F$67,MATCH(A36,Events!$A$2:$A$67,0)),""))</f>
        <v>BEL</v>
      </c>
      <c r="O36" s="12" t="n">
        <f aca="false">IF(AND(G36=1,K36="Yes",N36="POL"),IF(COUNTIFS($A$2:A36,A36,$D$2:D36,D36,$E$2:E36,E36,$G$2:G36,1)=1,1,0),0)</f>
        <v>0</v>
      </c>
      <c r="P36" s="12" t="n">
        <f aca="false">IF(AND(ISNUMBER(G36),K36="Yes",N36="POL"),IF(AND(G36&gt;=1,G36&lt;=3,COUNTIFS($A$2:A36,A36,$D$2:D36,D36,$E$2:E36,E36,$G$2:G36,G36)=1),1,0),0)</f>
        <v>0</v>
      </c>
    </row>
    <row r="37" customFormat="false" ht="15" hidden="false" customHeight="false" outlineLevel="0" collapsed="false">
      <c r="A37" s="12" t="s">
        <v>310</v>
      </c>
      <c r="B37" s="13" t="n">
        <v>46129</v>
      </c>
      <c r="C37" s="12" t="str">
        <f aca="false">IF(A37="","",IFERROR(INDEX(Events!$D$2:$D$67,MATCH(A37,Events!$A$2:$A$67,0)),"Unknown event ID"))</f>
        <v>UCI Track Nations Cup – Hong Kong</v>
      </c>
      <c r="D37" s="12" t="s">
        <v>369</v>
      </c>
      <c r="E37" s="12" t="s">
        <v>59</v>
      </c>
      <c r="F37" s="12" t="s">
        <v>62</v>
      </c>
      <c r="G37" s="12" t="n">
        <v>9</v>
      </c>
      <c r="H37" s="12" t="s">
        <v>366</v>
      </c>
      <c r="I37" s="12"/>
      <c r="J37" s="12" t="s">
        <v>64</v>
      </c>
      <c r="K37" s="12" t="str">
        <f aca="false">IF(A37="","",IFERROR(IF(INDEX(Events!$J$2:$J$67,MATCH(A37,Events!$A$2:$A$67,0))="Yes",IF(ISNUMBER(SEARCH("Criterium final",D37)),"No","Yes"),"No"),""))</f>
        <v>No</v>
      </c>
      <c r="L37" s="12"/>
      <c r="M37" s="12" t="n">
        <f aca="false">IF(OR(A37="",F37=""),0,IF(COUNTIFS($A$2:A37,A37,$F$2:F37,F37)=1,1,0))</f>
        <v>1</v>
      </c>
      <c r="N37" s="12" t="str">
        <f aca="false">IF(A37="","",IFERROR(INDEX(Events!$F$2:$F$67,MATCH(A37,Events!$A$2:$A$67,0)),""))</f>
        <v>HKG</v>
      </c>
      <c r="O37" s="12" t="n">
        <f aca="false">IF(AND(G37=1,K37="Yes",N37="POL"),IF(COUNTIFS($A$2:A37,A37,$D$2:D37,D37,$E$2:E37,E37,$G$2:G37,1)=1,1,0),0)</f>
        <v>0</v>
      </c>
      <c r="P37" s="12" t="n">
        <f aca="false">IF(AND(ISNUMBER(G37),K37="Yes",N37="POL"),IF(AND(G37&gt;=1,G37&lt;=3,COUNTIFS($A$2:A37,A37,$D$2:D37,D37,$E$2:E37,E37,$G$2:G37,G37)=1),1,0),0)</f>
        <v>0</v>
      </c>
    </row>
    <row r="38" customFormat="false" ht="15" hidden="false" customHeight="false" outlineLevel="0" collapsed="false">
      <c r="A38" s="12" t="s">
        <v>316</v>
      </c>
      <c r="B38" s="13" t="n">
        <v>46136</v>
      </c>
      <c r="C38" s="12" t="str">
        <f aca="false">IF(A38="","",IFERROR(INDEX(Events!$D$2:$D$67,MATCH(A38,Events!$A$2:$A$67,0)),"Unknown event ID"))</f>
        <v>UCI Track Nations Cup – Nilai</v>
      </c>
      <c r="D38" s="12" t="s">
        <v>369</v>
      </c>
      <c r="E38" s="12" t="s">
        <v>59</v>
      </c>
      <c r="F38" s="12" t="s">
        <v>62</v>
      </c>
      <c r="G38" s="12" t="n">
        <v>8</v>
      </c>
      <c r="H38" s="12" t="s">
        <v>366</v>
      </c>
      <c r="I38" s="12"/>
      <c r="J38" s="12" t="s">
        <v>64</v>
      </c>
      <c r="K38" s="12" t="str">
        <f aca="false">IF(A38="","",IFERROR(IF(INDEX(Events!$J$2:$J$67,MATCH(A38,Events!$A$2:$A$67,0))="Yes",IF(ISNUMBER(SEARCH("Criterium final",D38)),"No","Yes"),"No"),""))</f>
        <v>No</v>
      </c>
      <c r="L38" s="12"/>
      <c r="M38" s="12" t="n">
        <f aca="false">IF(OR(A38="",F38=""),0,IF(COUNTIFS($A$2:A38,A38,$F$2:F38,F38)=1,1,0))</f>
        <v>1</v>
      </c>
      <c r="N38" s="12" t="str">
        <f aca="false">IF(A38="","",IFERROR(INDEX(Events!$F$2:$F$67,MATCH(A38,Events!$A$2:$A$67,0)),""))</f>
        <v>MAS</v>
      </c>
      <c r="O38" s="12" t="n">
        <f aca="false">IF(AND(G38=1,K38="Yes",N38="POL"),IF(COUNTIFS($A$2:A38,A38,$D$2:D38,D38,$E$2:E38,E38,$G$2:G38,1)=1,1,0),0)</f>
        <v>0</v>
      </c>
      <c r="P38" s="12" t="n">
        <f aca="false">IF(AND(ISNUMBER(G38),K38="Yes",N38="POL"),IF(AND(G38&gt;=1,G38&lt;=3,COUNTIFS($A$2:A38,A38,$D$2:D38,D38,$E$2:E38,E38,$G$2:G38,G38)=1),1,0),0)</f>
        <v>0</v>
      </c>
    </row>
    <row r="39" customFormat="false" ht="15" hidden="false" customHeight="false" outlineLevel="0" collapsed="false">
      <c r="A39" s="12" t="s">
        <v>223</v>
      </c>
      <c r="B39" s="13" t="n">
        <v>46156</v>
      </c>
      <c r="C39" s="12" t="str">
        <f aca="false">IF(A39="","",IFERROR(INDEX(Events!$D$2:$D$67,MATCH(A39,Events!$A$2:$A$67,0)),"Unknown event ID"))</f>
        <v>Tour de Feminin</v>
      </c>
      <c r="D39" s="12" t="s">
        <v>372</v>
      </c>
      <c r="E39" s="12" t="s">
        <v>59</v>
      </c>
      <c r="F39" s="12" t="s">
        <v>62</v>
      </c>
      <c r="G39" s="12" t="n">
        <v>7</v>
      </c>
      <c r="H39" s="12" t="s">
        <v>366</v>
      </c>
      <c r="I39" s="12"/>
      <c r="J39" s="12" t="s">
        <v>64</v>
      </c>
      <c r="K39" s="12" t="str">
        <f aca="false">IF(A39="","",IFERROR(IF(INDEX(Events!$J$2:$J$67,MATCH(A39,Events!$A$2:$A$67,0))="Yes",IF(ISNUMBER(SEARCH("Criterium final",D39)),"No","Yes"),"No"),""))</f>
        <v>No</v>
      </c>
      <c r="L39" s="12"/>
      <c r="M39" s="12" t="n">
        <f aca="false">IF(OR(A39="",F39=""),0,IF(COUNTIFS($A$2:A39,A39,$F$2:F39,F39)=1,1,0))</f>
        <v>1</v>
      </c>
      <c r="N39" s="12" t="str">
        <f aca="false">IF(A39="","",IFERROR(INDEX(Events!$F$2:$F$67,MATCH(A39,Events!$A$2:$A$67,0)),""))</f>
        <v>CZE</v>
      </c>
      <c r="O39" s="12" t="n">
        <f aca="false">IF(AND(G39=1,K39="Yes",N39="POL"),IF(COUNTIFS($A$2:A39,A39,$D$2:D39,D39,$E$2:E39,E39,$G$2:G39,1)=1,1,0),0)</f>
        <v>0</v>
      </c>
      <c r="P39" s="12" t="n">
        <f aca="false">IF(AND(ISNUMBER(G39),K39="Yes",N39="POL"),IF(AND(G39&gt;=1,G39&lt;=3,COUNTIFS($A$2:A39,A39,$D$2:D39,D39,$E$2:E39,E39,$G$2:G39,G39)=1),1,0),0)</f>
        <v>0</v>
      </c>
    </row>
    <row r="40" customFormat="false" ht="15" hidden="false" customHeight="false" outlineLevel="0" collapsed="false">
      <c r="A40" s="12" t="s">
        <v>223</v>
      </c>
      <c r="B40" s="13" t="n">
        <v>46157</v>
      </c>
      <c r="C40" s="12" t="str">
        <f aca="false">IF(A40="","",IFERROR(INDEX(Events!$D$2:$D$67,MATCH(A40,Events!$A$2:$A$67,0)),"Unknown event ID"))</f>
        <v>Tour de Feminin</v>
      </c>
      <c r="D40" s="12" t="s">
        <v>373</v>
      </c>
      <c r="E40" s="12" t="s">
        <v>59</v>
      </c>
      <c r="F40" s="12" t="s">
        <v>62</v>
      </c>
      <c r="G40" s="12" t="n">
        <v>74</v>
      </c>
      <c r="H40" s="12" t="s">
        <v>366</v>
      </c>
      <c r="I40" s="12"/>
      <c r="J40" s="12" t="s">
        <v>64</v>
      </c>
      <c r="K40" s="12" t="str">
        <f aca="false">IF(A40="","",IFERROR(IF(INDEX(Events!$J$2:$J$67,MATCH(A40,Events!$A$2:$A$67,0))="Yes",IF(ISNUMBER(SEARCH("Criterium final",D40)),"No","Yes"),"No"),""))</f>
        <v>No</v>
      </c>
      <c r="L40" s="12"/>
      <c r="M40" s="12" t="n">
        <f aca="false">IF(OR(A40="",F40=""),0,IF(COUNTIFS($A$2:A40,A40,$F$2:F40,F40)=1,1,0))</f>
        <v>0</v>
      </c>
      <c r="N40" s="12" t="str">
        <f aca="false">IF(A40="","",IFERROR(INDEX(Events!$F$2:$F$67,MATCH(A40,Events!$A$2:$A$67,0)),""))</f>
        <v>CZE</v>
      </c>
      <c r="O40" s="12" t="n">
        <f aca="false">IF(AND(G40=1,K40="Yes",N40="POL"),IF(COUNTIFS($A$2:A40,A40,$D$2:D40,D40,$E$2:E40,E40,$G$2:G40,1)=1,1,0),0)</f>
        <v>0</v>
      </c>
      <c r="P40" s="12" t="n">
        <f aca="false">IF(AND(ISNUMBER(G40),K40="Yes",N40="POL"),IF(AND(G40&gt;=1,G40&lt;=3,COUNTIFS($A$2:A40,A40,$D$2:D40,D40,$E$2:E40,E40,$G$2:G40,G40)=1),1,0),0)</f>
        <v>0</v>
      </c>
    </row>
    <row r="41" customFormat="false" ht="15" hidden="false" customHeight="false" outlineLevel="0" collapsed="false">
      <c r="A41" s="12" t="s">
        <v>223</v>
      </c>
      <c r="B41" s="13" t="n">
        <v>46158</v>
      </c>
      <c r="C41" s="12" t="str">
        <f aca="false">IF(A41="","",IFERROR(INDEX(Events!$D$2:$D$67,MATCH(A41,Events!$A$2:$A$67,0)),"Unknown event ID"))</f>
        <v>Tour de Feminin</v>
      </c>
      <c r="D41" s="12" t="s">
        <v>374</v>
      </c>
      <c r="E41" s="12" t="s">
        <v>59</v>
      </c>
      <c r="F41" s="12" t="s">
        <v>62</v>
      </c>
      <c r="G41" s="12" t="n">
        <v>64</v>
      </c>
      <c r="H41" s="12" t="s">
        <v>366</v>
      </c>
      <c r="I41" s="12"/>
      <c r="J41" s="12" t="s">
        <v>64</v>
      </c>
      <c r="K41" s="12" t="str">
        <f aca="false">IF(A41="","",IFERROR(IF(INDEX(Events!$J$2:$J$67,MATCH(A41,Events!$A$2:$A$67,0))="Yes",IF(ISNUMBER(SEARCH("Criterium final",D41)),"No","Yes"),"No"),""))</f>
        <v>No</v>
      </c>
      <c r="L41" s="12"/>
      <c r="M41" s="12" t="n">
        <f aca="false">IF(OR(A41="",F41=""),0,IF(COUNTIFS($A$2:A41,A41,$F$2:F41,F41)=1,1,0))</f>
        <v>0</v>
      </c>
      <c r="N41" s="12" t="str">
        <f aca="false">IF(A41="","",IFERROR(INDEX(Events!$F$2:$F$67,MATCH(A41,Events!$A$2:$A$67,0)),""))</f>
        <v>CZE</v>
      </c>
      <c r="O41" s="12" t="n">
        <f aca="false">IF(AND(G41=1,K41="Yes",N41="POL"),IF(COUNTIFS($A$2:A41,A41,$D$2:D41,D41,$E$2:E41,E41,$G$2:G41,1)=1,1,0),0)</f>
        <v>0</v>
      </c>
      <c r="P41" s="12" t="n">
        <f aca="false">IF(AND(ISNUMBER(G41),K41="Yes",N41="POL"),IF(AND(G41&gt;=1,G41&lt;=3,COUNTIFS($A$2:A41,A41,$D$2:D41,D41,$E$2:E41,E41,$G$2:G41,G41)=1),1,0),0)</f>
        <v>0</v>
      </c>
    </row>
    <row r="42" customFormat="false" ht="15" hidden="false" customHeight="false" outlineLevel="0" collapsed="false">
      <c r="A42" s="12" t="s">
        <v>223</v>
      </c>
      <c r="B42" s="13" t="n">
        <v>46159</v>
      </c>
      <c r="C42" s="12" t="str">
        <f aca="false">IF(A42="","",IFERROR(INDEX(Events!$D$2:$D$67,MATCH(A42,Events!$A$2:$A$67,0)),"Unknown event ID"))</f>
        <v>Tour de Feminin</v>
      </c>
      <c r="D42" s="12" t="s">
        <v>375</v>
      </c>
      <c r="E42" s="12" t="s">
        <v>59</v>
      </c>
      <c r="F42" s="12" t="s">
        <v>62</v>
      </c>
      <c r="G42" s="12" t="n">
        <v>104</v>
      </c>
      <c r="H42" s="12" t="s">
        <v>366</v>
      </c>
      <c r="I42" s="12"/>
      <c r="J42" s="12" t="s">
        <v>64</v>
      </c>
      <c r="K42" s="12" t="str">
        <f aca="false">IF(A42="","",IFERROR(IF(INDEX(Events!$J$2:$J$67,MATCH(A42,Events!$A$2:$A$67,0))="Yes",IF(ISNUMBER(SEARCH("Criterium final",D42)),"No","Yes"),"No"),""))</f>
        <v>No</v>
      </c>
      <c r="L42" s="12"/>
      <c r="M42" s="12" t="n">
        <f aca="false">IF(OR(A42="",F42=""),0,IF(COUNTIFS($A$2:A42,A42,$F$2:F42,F42)=1,1,0))</f>
        <v>0</v>
      </c>
      <c r="N42" s="12" t="str">
        <f aca="false">IF(A42="","",IFERROR(INDEX(Events!$F$2:$F$67,MATCH(A42,Events!$A$2:$A$67,0)),""))</f>
        <v>CZE</v>
      </c>
      <c r="O42" s="12" t="n">
        <f aca="false">IF(AND(G42=1,K42="Yes",N42="POL"),IF(COUNTIFS($A$2:A42,A42,$D$2:D42,D42,$E$2:E42,E42,$G$2:G42,1)=1,1,0),0)</f>
        <v>0</v>
      </c>
      <c r="P42" s="12" t="n">
        <f aca="false">IF(AND(ISNUMBER(G42),K42="Yes",N42="POL"),IF(AND(G42&gt;=1,G42&lt;=3,COUNTIFS($A$2:A42,A42,$D$2:D42,D42,$E$2:E42,E42,$G$2:G42,G42)=1),1,0),0)</f>
        <v>0</v>
      </c>
    </row>
    <row r="43" customFormat="false" ht="15" hidden="false" customHeight="false" outlineLevel="0" collapsed="false">
      <c r="A43" s="12" t="s">
        <v>223</v>
      </c>
      <c r="B43" s="13" t="n">
        <v>46159</v>
      </c>
      <c r="C43" s="12" t="str">
        <f aca="false">IF(A43="","",IFERROR(INDEX(Events!$D$2:$D$67,MATCH(A43,Events!$A$2:$A$67,0)),"Unknown event ID"))</f>
        <v>Tour de Feminin</v>
      </c>
      <c r="D43" s="12" t="s">
        <v>376</v>
      </c>
      <c r="E43" s="12" t="s">
        <v>59</v>
      </c>
      <c r="F43" s="12" t="s">
        <v>62</v>
      </c>
      <c r="G43" s="12" t="n">
        <v>86</v>
      </c>
      <c r="H43" s="12" t="s">
        <v>366</v>
      </c>
      <c r="I43" s="12"/>
      <c r="J43" s="12" t="s">
        <v>64</v>
      </c>
      <c r="K43" s="12" t="str">
        <f aca="false">IF(A43="","",IFERROR(IF(INDEX(Events!$J$2:$J$67,MATCH(A43,Events!$A$2:$A$67,0))="Yes",IF(ISNUMBER(SEARCH("Criterium final",D43)),"No","Yes"),"No"),""))</f>
        <v>No</v>
      </c>
      <c r="L43" s="12"/>
      <c r="M43" s="12" t="n">
        <f aca="false">IF(OR(A43="",F43=""),0,IF(COUNTIFS($A$2:A43,A43,$F$2:F43,F43)=1,1,0))</f>
        <v>0</v>
      </c>
      <c r="N43" s="12" t="str">
        <f aca="false">IF(A43="","",IFERROR(INDEX(Events!$F$2:$F$67,MATCH(A43,Events!$A$2:$A$67,0)),""))</f>
        <v>CZE</v>
      </c>
      <c r="O43" s="12" t="n">
        <f aca="false">IF(AND(G43=1,K43="Yes",N43="POL"),IF(COUNTIFS($A$2:A43,A43,$D$2:D43,D43,$E$2:E43,E43,$G$2:G43,1)=1,1,0),0)</f>
        <v>0</v>
      </c>
      <c r="P43" s="12" t="n">
        <f aca="false">IF(AND(ISNUMBER(G43),K43="Yes",N43="POL"),IF(AND(G43&gt;=1,G43&lt;=3,COUNTIFS($A$2:A43,A43,$D$2:D43,D43,$E$2:E43,E43,$G$2:G43,G43)=1),1,0),0)</f>
        <v>0</v>
      </c>
    </row>
    <row r="44" customFormat="false" ht="15" hidden="false" customHeight="false" outlineLevel="0" collapsed="false">
      <c r="A44" s="12" t="s">
        <v>230</v>
      </c>
      <c r="B44" s="13" t="n">
        <v>46165</v>
      </c>
      <c r="C44" s="12" t="str">
        <f aca="false">IF(A44="","",IFERROR(INDEX(Events!$D$2:$D$67,MATCH(A44,Events!$A$2:$A$67,0)),"Unknown event ID"))</f>
        <v>Polish Cup (road) – Lubuskie Warte Zachodu</v>
      </c>
      <c r="D44" s="12" t="s">
        <v>385</v>
      </c>
      <c r="E44" s="12" t="s">
        <v>59</v>
      </c>
      <c r="F44" s="12" t="s">
        <v>62</v>
      </c>
      <c r="G44" s="12" t="n">
        <v>3</v>
      </c>
      <c r="H44" s="12" t="s">
        <v>366</v>
      </c>
      <c r="I44" s="12"/>
      <c r="J44" s="12" t="s">
        <v>386</v>
      </c>
      <c r="K44" s="12" t="str">
        <f aca="false">IF(A44="","",IFERROR(IF(INDEX(Events!$J$2:$J$67,MATCH(A44,Events!$A$2:$A$67,0))="Yes",IF(ISNUMBER(SEARCH("Criterium final",D44)),"No","Yes"),"No"),""))</f>
        <v>No</v>
      </c>
      <c r="L44" s="12"/>
      <c r="M44" s="12" t="n">
        <f aca="false">IF(OR(A44="",F44=""),0,IF(COUNTIFS($A$2:A44,A44,$F$2:F44,F44)=1,1,0))</f>
        <v>1</v>
      </c>
      <c r="N44" s="12" t="str">
        <f aca="false">IF(A44="","",IFERROR(INDEX(Events!$F$2:$F$67,MATCH(A44,Events!$A$2:$A$67,0)),""))</f>
        <v>POL</v>
      </c>
      <c r="O44" s="12" t="n">
        <f aca="false">IF(AND(G44=1,K44="Yes",N44="POL"),IF(COUNTIFS($A$2:A44,A44,$D$2:D44,D44,$E$2:E44,E44,$G$2:G44,1)=1,1,0),0)</f>
        <v>0</v>
      </c>
      <c r="P44" s="12" t="n">
        <f aca="false">IF(AND(ISNUMBER(G44),K44="Yes",N44="POL"),IF(AND(G44&gt;=1,G44&lt;=3,COUNTIFS($A$2:A44,A44,$D$2:D44,D44,$E$2:E44,E44,$G$2:G44,G44)=1),1,0),0)</f>
        <v>0</v>
      </c>
    </row>
    <row r="45" customFormat="false" ht="15" hidden="false" customHeight="false" outlineLevel="0" collapsed="false">
      <c r="A45" s="12" t="s">
        <v>243</v>
      </c>
      <c r="B45" s="13" t="n">
        <v>46194</v>
      </c>
      <c r="C45" s="12" t="str">
        <f aca="false">IF(A45="","",IFERROR(INDEX(Events!$D$2:$D$67,MATCH(A45,Events!$A$2:$A$67,0)),"Unknown event ID"))</f>
        <v>LOTTO Thüringen Women Cycling Challenge</v>
      </c>
      <c r="D45" s="12" t="s">
        <v>365</v>
      </c>
      <c r="E45" s="12" t="s">
        <v>59</v>
      </c>
      <c r="F45" s="12" t="s">
        <v>62</v>
      </c>
      <c r="G45" s="12" t="n">
        <v>53</v>
      </c>
      <c r="H45" s="12" t="s">
        <v>366</v>
      </c>
      <c r="I45" s="12"/>
      <c r="J45" s="12" t="s">
        <v>64</v>
      </c>
      <c r="K45" s="12" t="str">
        <f aca="false">IF(A45="","",IFERROR(IF(INDEX(Events!$J$2:$J$67,MATCH(A45,Events!$A$2:$A$67,0))="Yes",IF(ISNUMBER(SEARCH("Criterium final",D45)),"No","Yes"),"No"),""))</f>
        <v>No</v>
      </c>
      <c r="L45" s="12"/>
      <c r="M45" s="12" t="n">
        <f aca="false">IF(OR(A45="",F45=""),0,IF(COUNTIFS($A$2:A45,A45,$F$2:F45,F45)=1,1,0))</f>
        <v>1</v>
      </c>
      <c r="N45" s="12" t="str">
        <f aca="false">IF(A45="","",IFERROR(INDEX(Events!$F$2:$F$67,MATCH(A45,Events!$A$2:$A$67,0)),""))</f>
        <v>GER</v>
      </c>
      <c r="O45" s="12" t="n">
        <f aca="false">IF(AND(G45=1,K45="Yes",N45="POL"),IF(COUNTIFS($A$2:A45,A45,$D$2:D45,D45,$E$2:E45,E45,$G$2:G45,1)=1,1,0),0)</f>
        <v>0</v>
      </c>
      <c r="P45" s="12" t="n">
        <f aca="false">IF(AND(ISNUMBER(G45),K45="Yes",N45="POL"),IF(AND(G45&gt;=1,G45&lt;=3,COUNTIFS($A$2:A45,A45,$D$2:D45,D45,$E$2:E45,E45,$G$2:G45,G45)=1),1,0),0)</f>
        <v>0</v>
      </c>
    </row>
    <row r="46" customFormat="false" ht="15" hidden="false" customHeight="false" outlineLevel="0" collapsed="false">
      <c r="A46" s="12" t="s">
        <v>246</v>
      </c>
      <c r="B46" s="13" t="n">
        <v>46198</v>
      </c>
      <c r="C46" s="12" t="str">
        <f aca="false">IF(A46="","",IFERROR(INDEX(Events!$D$2:$D$67,MATCH(A46,Events!$A$2:$A$67,0)),"Unknown event ID"))</f>
        <v>Polish Road Championships (ITT + road race)</v>
      </c>
      <c r="D46" s="12" t="s">
        <v>387</v>
      </c>
      <c r="E46" s="12" t="s">
        <v>59</v>
      </c>
      <c r="F46" s="12" t="s">
        <v>62</v>
      </c>
      <c r="G46" s="12" t="n">
        <v>7</v>
      </c>
      <c r="H46" s="12" t="s">
        <v>366</v>
      </c>
      <c r="I46" s="12"/>
      <c r="J46" s="12" t="s">
        <v>64</v>
      </c>
      <c r="K46" s="12" t="str">
        <f aca="false">IF(A46="","",IFERROR(IF(INDEX(Events!$J$2:$J$67,MATCH(A46,Events!$A$2:$A$67,0))="Yes",IF(ISNUMBER(SEARCH("Criterium final",D46)),"No","Yes"),"No"),""))</f>
        <v>Yes</v>
      </c>
      <c r="L46" s="12"/>
      <c r="M46" s="12" t="n">
        <f aca="false">IF(OR(A46="",F46=""),0,IF(COUNTIFS($A$2:A46,A46,$F$2:F46,F46)=1,1,0))</f>
        <v>1</v>
      </c>
      <c r="N46" s="12" t="str">
        <f aca="false">IF(A46="","",IFERROR(INDEX(Events!$F$2:$F$67,MATCH(A46,Events!$A$2:$A$67,0)),""))</f>
        <v>POL</v>
      </c>
      <c r="O46" s="12" t="n">
        <f aca="false">IF(AND(G46=1,K46="Yes",N46="POL"),IF(COUNTIFS($A$2:A46,A46,$D$2:D46,D46,$E$2:E46,E46,$G$2:G46,1)=1,1,0),0)</f>
        <v>0</v>
      </c>
      <c r="P46" s="12" t="n">
        <f aca="false">IF(AND(ISNUMBER(G46),K46="Yes",N46="POL"),IF(AND(G46&gt;=1,G46&lt;=3,COUNTIFS($A$2:A46,A46,$D$2:D46,D46,$E$2:E46,E46,$G$2:G46,G46)=1),1,0),0)</f>
        <v>0</v>
      </c>
    </row>
    <row r="47" customFormat="false" ht="15" hidden="false" customHeight="false" outlineLevel="0" collapsed="false">
      <c r="A47" s="12" t="s">
        <v>246</v>
      </c>
      <c r="B47" s="13" t="n">
        <v>46200</v>
      </c>
      <c r="C47" s="12" t="str">
        <f aca="false">IF(A47="","",IFERROR(INDEX(Events!$D$2:$D$67,MATCH(A47,Events!$A$2:$A$67,0)),"Unknown event ID"))</f>
        <v>Polish Road Championships (ITT + road race)</v>
      </c>
      <c r="D47" s="12" t="s">
        <v>367</v>
      </c>
      <c r="E47" s="12" t="s">
        <v>59</v>
      </c>
      <c r="F47" s="12" t="s">
        <v>62</v>
      </c>
      <c r="G47" s="12" t="n">
        <v>25</v>
      </c>
      <c r="H47" s="12" t="s">
        <v>366</v>
      </c>
      <c r="I47" s="12"/>
      <c r="J47" s="12" t="s">
        <v>64</v>
      </c>
      <c r="K47" s="12" t="str">
        <f aca="false">IF(A47="","",IFERROR(IF(INDEX(Events!$J$2:$J$67,MATCH(A47,Events!$A$2:$A$67,0))="Yes",IF(ISNUMBER(SEARCH("Criterium final",D47)),"No","Yes"),"No"),""))</f>
        <v>Yes</v>
      </c>
      <c r="L47" s="12"/>
      <c r="M47" s="12" t="n">
        <f aca="false">IF(OR(A47="",F47=""),0,IF(COUNTIFS($A$2:A47,A47,$F$2:F47,F47)=1,1,0))</f>
        <v>0</v>
      </c>
      <c r="N47" s="12" t="str">
        <f aca="false">IF(A47="","",IFERROR(INDEX(Events!$F$2:$F$67,MATCH(A47,Events!$A$2:$A$67,0)),""))</f>
        <v>POL</v>
      </c>
      <c r="O47" s="12" t="n">
        <f aca="false">IF(AND(G47=1,K47="Yes",N47="POL"),IF(COUNTIFS($A$2:A47,A47,$D$2:D47,D47,$E$2:E47,E47,$G$2:G47,1)=1,1,0),0)</f>
        <v>0</v>
      </c>
      <c r="P47" s="12" t="n">
        <f aca="false">IF(AND(ISNUMBER(G47),K47="Yes",N47="POL"),IF(AND(G47&gt;=1,G47&lt;=3,COUNTIFS($A$2:A47,A47,$D$2:D47,D47,$E$2:E47,E47,$G$2:G47,G47)=1),1,0),0)</f>
        <v>0</v>
      </c>
    </row>
    <row r="48" customFormat="false" ht="15" hidden="false" customHeight="false" outlineLevel="0" collapsed="false">
      <c r="A48" s="12" t="s">
        <v>252</v>
      </c>
      <c r="B48" s="13" t="n">
        <v>46214</v>
      </c>
      <c r="C48" s="12" t="str">
        <f aca="false">IF(A48="","",IFERROR(INDEX(Events!$D$2:$D$67,MATCH(A48,Events!$A$2:$A$67,0)),"Unknown event ID"))</f>
        <v>Respect Ladies Race Slovakia</v>
      </c>
      <c r="D48" s="12" t="s">
        <v>365</v>
      </c>
      <c r="E48" s="12" t="s">
        <v>59</v>
      </c>
      <c r="F48" s="12" t="s">
        <v>62</v>
      </c>
      <c r="G48" s="12" t="n">
        <v>31</v>
      </c>
      <c r="H48" s="12" t="s">
        <v>366</v>
      </c>
      <c r="I48" s="12"/>
      <c r="J48" s="12" t="s">
        <v>64</v>
      </c>
      <c r="K48" s="12" t="str">
        <f aca="false">IF(A48="","",IFERROR(IF(INDEX(Events!$J$2:$J$67,MATCH(A48,Events!$A$2:$A$67,0))="Yes",IF(ISNUMBER(SEARCH("Criterium final",D48)),"No","Yes"),"No"),""))</f>
        <v>No</v>
      </c>
      <c r="L48" s="12"/>
      <c r="M48" s="12" t="n">
        <f aca="false">IF(OR(A48="",F48=""),0,IF(COUNTIFS($A$2:A48,A48,$F$2:F48,F48)=1,1,0))</f>
        <v>1</v>
      </c>
      <c r="N48" s="12" t="str">
        <f aca="false">IF(A48="","",IFERROR(INDEX(Events!$F$2:$F$67,MATCH(A48,Events!$A$2:$A$67,0)),""))</f>
        <v>SVK</v>
      </c>
      <c r="O48" s="12" t="n">
        <f aca="false">IF(AND(G48=1,K48="Yes",N48="POL"),IF(COUNTIFS($A$2:A48,A48,$D$2:D48,D48,$E$2:E48,E48,$G$2:G48,1)=1,1,0),0)</f>
        <v>0</v>
      </c>
      <c r="P48" s="12" t="n">
        <f aca="false">IF(AND(ISNUMBER(G48),K48="Yes",N48="POL"),IF(AND(G48&gt;=1,G48&lt;=3,COUNTIFS($A$2:A48,A48,$D$2:D48,D48,$E$2:E48,E48,$G$2:G48,G48)=1),1,0),0)</f>
        <v>0</v>
      </c>
    </row>
    <row r="49" customFormat="false" ht="15" hidden="false" customHeight="false" outlineLevel="0" collapsed="false">
      <c r="A49" s="12" t="s">
        <v>270</v>
      </c>
      <c r="B49" s="13" t="n">
        <v>46235</v>
      </c>
      <c r="C49" s="12" t="str">
        <f aca="false">IF(A49="","",IFERROR(INDEX(Events!$D$2:$D$67,MATCH(A49,Events!$A$2:$A$67,0)),"Unknown event ID"))</f>
        <v>Polish Elite Track Championships</v>
      </c>
      <c r="D49" s="12" t="s">
        <v>369</v>
      </c>
      <c r="E49" s="12" t="s">
        <v>59</v>
      </c>
      <c r="F49" s="12" t="s">
        <v>62</v>
      </c>
      <c r="G49" s="12" t="n">
        <v>2</v>
      </c>
      <c r="H49" s="12" t="s">
        <v>366</v>
      </c>
      <c r="I49" s="12" t="s">
        <v>388</v>
      </c>
      <c r="J49" s="12" t="s">
        <v>379</v>
      </c>
      <c r="K49" s="12" t="str">
        <f aca="false">IF(A49="","",IFERROR(IF(INDEX(Events!$J$2:$J$67,MATCH(A49,Events!$A$2:$A$67,0))="Yes",IF(ISNUMBER(SEARCH("Criterium final",D49)),"No","Yes"),"No"),""))</f>
        <v>Yes</v>
      </c>
      <c r="L49" s="12"/>
      <c r="M49" s="12" t="n">
        <f aca="false">IF(OR(A49="",F49=""),0,IF(COUNTIFS($A$2:A49,A49,$F$2:F49,F49)=1,1,0))</f>
        <v>1</v>
      </c>
      <c r="N49" s="12" t="str">
        <f aca="false">IF(A49="","",IFERROR(INDEX(Events!$F$2:$F$67,MATCH(A49,Events!$A$2:$A$67,0)),""))</f>
        <v>POL</v>
      </c>
      <c r="O49" s="12" t="n">
        <f aca="false">IF(AND(G49=1,K49="Yes",N49="POL"),IF(COUNTIFS($A$2:A49,A49,$D$2:D49,D49,$E$2:E49,E49,$G$2:G49,1)=1,1,0),0)</f>
        <v>0</v>
      </c>
      <c r="P49" s="12" t="n">
        <f aca="false">IF(AND(ISNUMBER(G49),K49="Yes",N49="POL"),IF(AND(G49&gt;=1,G49&lt;=3,COUNTIFS($A$2:A49,A49,$D$2:D49,D49,$E$2:E49,E49,$G$2:G49,G49)=1),1,0),0)</f>
        <v>1</v>
      </c>
    </row>
    <row r="50" customFormat="false" ht="15" hidden="false" customHeight="false" outlineLevel="0" collapsed="false">
      <c r="A50" s="12" t="s">
        <v>270</v>
      </c>
      <c r="B50" s="13" t="n">
        <v>46237</v>
      </c>
      <c r="C50" s="12" t="str">
        <f aca="false">IF(A50="","",IFERROR(INDEX(Events!$D$2:$D$67,MATCH(A50,Events!$A$2:$A$67,0)),"Unknown event ID"))</f>
        <v>Polish Elite Track Championships</v>
      </c>
      <c r="D50" s="12" t="s">
        <v>389</v>
      </c>
      <c r="E50" s="12" t="s">
        <v>59</v>
      </c>
      <c r="F50" s="12" t="s">
        <v>62</v>
      </c>
      <c r="G50" s="12" t="n">
        <v>1</v>
      </c>
      <c r="H50" s="12" t="s">
        <v>366</v>
      </c>
      <c r="I50" s="12"/>
      <c r="J50" s="12" t="s">
        <v>383</v>
      </c>
      <c r="K50" s="12" t="str">
        <f aca="false">IF(A50="","",IFERROR(IF(INDEX(Events!$J$2:$J$67,MATCH(A50,Events!$A$2:$A$67,0))="Yes",IF(ISNUMBER(SEARCH("Criterium final",D50)),"No","Yes"),"No"),""))</f>
        <v>Yes</v>
      </c>
      <c r="L50" s="12"/>
      <c r="M50" s="12" t="n">
        <f aca="false">IF(OR(A50="",F50=""),0,IF(COUNTIFS($A$2:A50,A50,$F$2:F50,F50)=1,1,0))</f>
        <v>0</v>
      </c>
      <c r="N50" s="12" t="str">
        <f aca="false">IF(A50="","",IFERROR(INDEX(Events!$F$2:$F$67,MATCH(A50,Events!$A$2:$A$67,0)),""))</f>
        <v>POL</v>
      </c>
      <c r="O50" s="12" t="n">
        <f aca="false">IF(AND(G50=1,K50="Yes",N50="POL"),IF(COUNTIFS($A$2:A50,A50,$D$2:D50,D50,$E$2:E50,E50,$G$2:G50,1)=1,1,0),0)</f>
        <v>1</v>
      </c>
      <c r="P50" s="12" t="n">
        <f aca="false">IF(AND(ISNUMBER(G50),K50="Yes",N50="POL"),IF(AND(G50&gt;=1,G50&lt;=3,COUNTIFS($A$2:A50,A50,$D$2:D50,D50,$E$2:E50,E50,$G$2:G50,G50)=1),1,0),0)</f>
        <v>1</v>
      </c>
    </row>
    <row r="51" customFormat="false" ht="15" hidden="false" customHeight="false" outlineLevel="0" collapsed="false">
      <c r="A51" s="12" t="s">
        <v>270</v>
      </c>
      <c r="B51" s="13" t="n">
        <v>46237</v>
      </c>
      <c r="C51" s="12" t="str">
        <f aca="false">IF(A51="","",IFERROR(INDEX(Events!$D$2:$D$67,MATCH(A51,Events!$A$2:$A$67,0)),"Unknown event ID"))</f>
        <v>Polish Elite Track Championships</v>
      </c>
      <c r="D51" s="12" t="s">
        <v>370</v>
      </c>
      <c r="E51" s="12" t="s">
        <v>59</v>
      </c>
      <c r="F51" s="12" t="s">
        <v>62</v>
      </c>
      <c r="G51" s="12" t="n">
        <v>3</v>
      </c>
      <c r="H51" s="12" t="s">
        <v>366</v>
      </c>
      <c r="I51" s="12" t="s">
        <v>390</v>
      </c>
      <c r="J51" s="12" t="s">
        <v>383</v>
      </c>
      <c r="K51" s="12" t="str">
        <f aca="false">IF(A51="","",IFERROR(IF(INDEX(Events!$J$2:$J$67,MATCH(A51,Events!$A$2:$A$67,0))="Yes",IF(ISNUMBER(SEARCH("Criterium final",D51)),"No","Yes"),"No"),""))</f>
        <v>Yes</v>
      </c>
      <c r="L51" s="12"/>
      <c r="M51" s="12" t="n">
        <f aca="false">IF(OR(A51="",F51=""),0,IF(COUNTIFS($A$2:A51,A51,$F$2:F51,F51)=1,1,0))</f>
        <v>0</v>
      </c>
      <c r="N51" s="12" t="str">
        <f aca="false">IF(A51="","",IFERROR(INDEX(Events!$F$2:$F$67,MATCH(A51,Events!$A$2:$A$67,0)),""))</f>
        <v>POL</v>
      </c>
      <c r="O51" s="12" t="n">
        <f aca="false">IF(AND(G51=1,K51="Yes",N51="POL"),IF(COUNTIFS($A$2:A51,A51,$D$2:D51,D51,$E$2:E51,E51,$G$2:G51,1)=1,1,0),0)</f>
        <v>0</v>
      </c>
      <c r="P51" s="12" t="n">
        <f aca="false">IF(AND(ISNUMBER(G51),K51="Yes",N51="POL"),IF(AND(G51&gt;=1,G51&lt;=3,COUNTIFS($A$2:A51,A51,$D$2:D51,D51,$E$2:E51,E51,$G$2:G51,G51)=1),1,0),0)</f>
        <v>1</v>
      </c>
    </row>
    <row r="52" customFormat="false" ht="15" hidden="false" customHeight="false" outlineLevel="0" collapsed="false">
      <c r="A52" s="12" t="s">
        <v>150</v>
      </c>
      <c r="B52" s="13" t="n">
        <v>46055</v>
      </c>
      <c r="C52" s="12" t="str">
        <f aca="false">IF(A52="","",IFERROR(INDEX(Events!$D$2:$D$67,MATCH(A52,Events!$A$2:$A$67,0)),"Unknown event ID"))</f>
        <v>UEC Track Elite European Championships</v>
      </c>
      <c r="D52" s="12" t="s">
        <v>380</v>
      </c>
      <c r="E52" s="12" t="s">
        <v>59</v>
      </c>
      <c r="F52" s="12" t="s">
        <v>65</v>
      </c>
      <c r="G52" s="12" t="n">
        <v>5</v>
      </c>
      <c r="H52" s="12" t="s">
        <v>366</v>
      </c>
      <c r="I52" s="12"/>
      <c r="J52" s="12" t="s">
        <v>68</v>
      </c>
      <c r="K52" s="12" t="str">
        <f aca="false">IF(A52="","",IFERROR(IF(INDEX(Events!$J$2:$J$67,MATCH(A52,Events!$A$2:$A$67,0))="Yes",IF(ISNUMBER(SEARCH("Criterium final",D52)),"No","Yes"),"No"),""))</f>
        <v>No</v>
      </c>
      <c r="L52" s="12"/>
      <c r="M52" s="12" t="n">
        <f aca="false">IF(OR(A52="",F52=""),0,IF(COUNTIFS($A$2:A52,A52,$F$2:F52,F52)=1,1,0))</f>
        <v>1</v>
      </c>
      <c r="N52" s="12" t="str">
        <f aca="false">IF(A52="","",IFERROR(INDEX(Events!$F$2:$F$67,MATCH(A52,Events!$A$2:$A$67,0)),""))</f>
        <v>TUR</v>
      </c>
      <c r="O52" s="12" t="n">
        <f aca="false">IF(AND(G52=1,K52="Yes",N52="POL"),IF(COUNTIFS($A$2:A52,A52,$D$2:D52,D52,$E$2:E52,E52,$G$2:G52,1)=1,1,0),0)</f>
        <v>0</v>
      </c>
      <c r="P52" s="12" t="n">
        <f aca="false">IF(AND(ISNUMBER(G52),K52="Yes",N52="POL"),IF(AND(G52&gt;=1,G52&lt;=3,COUNTIFS($A$2:A52,A52,$D$2:D52,D52,$E$2:E52,E52,$G$2:G52,G52)=1),1,0),0)</f>
        <v>0</v>
      </c>
    </row>
    <row r="53" customFormat="false" ht="15" hidden="false" customHeight="false" outlineLevel="0" collapsed="false">
      <c r="A53" s="12" t="s">
        <v>150</v>
      </c>
      <c r="B53" s="13" t="n">
        <v>46056</v>
      </c>
      <c r="C53" s="12" t="str">
        <f aca="false">IF(A53="","",IFERROR(INDEX(Events!$D$2:$D$67,MATCH(A53,Events!$A$2:$A$67,0)),"Unknown event ID"))</f>
        <v>UEC Track Elite European Championships</v>
      </c>
      <c r="D53" s="12" t="s">
        <v>371</v>
      </c>
      <c r="E53" s="12" t="s">
        <v>59</v>
      </c>
      <c r="F53" s="12" t="s">
        <v>65</v>
      </c>
      <c r="G53" s="12" t="n">
        <v>10</v>
      </c>
      <c r="H53" s="12" t="s">
        <v>366</v>
      </c>
      <c r="I53" s="12"/>
      <c r="J53" s="12" t="s">
        <v>68</v>
      </c>
      <c r="K53" s="12" t="str">
        <f aca="false">IF(A53="","",IFERROR(IF(INDEX(Events!$J$2:$J$67,MATCH(A53,Events!$A$2:$A$67,0))="Yes",IF(ISNUMBER(SEARCH("Criterium final",D53)),"No","Yes"),"No"),""))</f>
        <v>No</v>
      </c>
      <c r="L53" s="12"/>
      <c r="M53" s="12" t="n">
        <f aca="false">IF(OR(A53="",F53=""),0,IF(COUNTIFS($A$2:A53,A53,$F$2:F53,F53)=1,1,0))</f>
        <v>0</v>
      </c>
      <c r="N53" s="12" t="str">
        <f aca="false">IF(A53="","",IFERROR(INDEX(Events!$F$2:$F$67,MATCH(A53,Events!$A$2:$A$67,0)),""))</f>
        <v>TUR</v>
      </c>
      <c r="O53" s="12" t="n">
        <f aca="false">IF(AND(G53=1,K53="Yes",N53="POL"),IF(COUNTIFS($A$2:A53,A53,$D$2:D53,D53,$E$2:E53,E53,$G$2:G53,1)=1,1,0),0)</f>
        <v>0</v>
      </c>
      <c r="P53" s="12" t="n">
        <f aca="false">IF(AND(ISNUMBER(G53),K53="Yes",N53="POL"),IF(AND(G53&gt;=1,G53&lt;=3,COUNTIFS($A$2:A53,A53,$D$2:D53,D53,$E$2:E53,E53,$G$2:G53,G53)=1),1,0),0)</f>
        <v>0</v>
      </c>
    </row>
    <row r="54" customFormat="false" ht="15" hidden="false" customHeight="false" outlineLevel="0" collapsed="false">
      <c r="A54" s="12" t="s">
        <v>150</v>
      </c>
      <c r="B54" s="13" t="n">
        <v>46058</v>
      </c>
      <c r="C54" s="12" t="str">
        <f aca="false">IF(A54="","",IFERROR(INDEX(Events!$D$2:$D$67,MATCH(A54,Events!$A$2:$A$67,0)),"Unknown event ID"))</f>
        <v>UEC Track Elite European Championships</v>
      </c>
      <c r="D54" s="12" t="s">
        <v>370</v>
      </c>
      <c r="E54" s="12" t="s">
        <v>59</v>
      </c>
      <c r="F54" s="12" t="s">
        <v>65</v>
      </c>
      <c r="G54" s="12" t="n">
        <v>8</v>
      </c>
      <c r="H54" s="12" t="s">
        <v>366</v>
      </c>
      <c r="I54" s="12"/>
      <c r="J54" s="12" t="s">
        <v>68</v>
      </c>
      <c r="K54" s="12" t="str">
        <f aca="false">IF(A54="","",IFERROR(IF(INDEX(Events!$J$2:$J$67,MATCH(A54,Events!$A$2:$A$67,0))="Yes",IF(ISNUMBER(SEARCH("Criterium final",D54)),"No","Yes"),"No"),""))</f>
        <v>No</v>
      </c>
      <c r="L54" s="12"/>
      <c r="M54" s="12" t="n">
        <f aca="false">IF(OR(A54="",F54=""),0,IF(COUNTIFS($A$2:A54,A54,$F$2:F54,F54)=1,1,0))</f>
        <v>0</v>
      </c>
      <c r="N54" s="12" t="str">
        <f aca="false">IF(A54="","",IFERROR(INDEX(Events!$F$2:$F$67,MATCH(A54,Events!$A$2:$A$67,0)),""))</f>
        <v>TUR</v>
      </c>
      <c r="O54" s="12" t="n">
        <f aca="false">IF(AND(G54=1,K54="Yes",N54="POL"),IF(COUNTIFS($A$2:A54,A54,$D$2:D54,D54,$E$2:E54,E54,$G$2:G54,1)=1,1,0),0)</f>
        <v>0</v>
      </c>
      <c r="P54" s="12" t="n">
        <f aca="false">IF(AND(ISNUMBER(G54),K54="Yes",N54="POL"),IF(AND(G54&gt;=1,G54&lt;=3,COUNTIFS($A$2:A54,A54,$D$2:D54,D54,$E$2:E54,E54,$G$2:G54,G54)=1),1,0),0)</f>
        <v>0</v>
      </c>
    </row>
    <row r="55" customFormat="false" ht="15" hidden="false" customHeight="false" outlineLevel="0" collapsed="false">
      <c r="A55" s="12" t="s">
        <v>166</v>
      </c>
      <c r="B55" s="13" t="n">
        <v>46085</v>
      </c>
      <c r="C55" s="12" t="str">
        <f aca="false">IF(A55="","",IFERROR(INDEX(Events!$D$2:$D$67,MATCH(A55,Events!$A$2:$A$67,0)),"Unknown event ID"))</f>
        <v>UMAG Classic Ladies</v>
      </c>
      <c r="D55" s="12" t="s">
        <v>365</v>
      </c>
      <c r="E55" s="12" t="s">
        <v>59</v>
      </c>
      <c r="F55" s="12" t="s">
        <v>65</v>
      </c>
      <c r="G55" s="12" t="n">
        <v>4</v>
      </c>
      <c r="H55" s="12" t="s">
        <v>366</v>
      </c>
      <c r="I55" s="12"/>
      <c r="J55" s="12" t="s">
        <v>68</v>
      </c>
      <c r="K55" s="12" t="str">
        <f aca="false">IF(A55="","",IFERROR(IF(INDEX(Events!$J$2:$J$67,MATCH(A55,Events!$A$2:$A$67,0))="Yes",IF(ISNUMBER(SEARCH("Criterium final",D55)),"No","Yes"),"No"),""))</f>
        <v>No</v>
      </c>
      <c r="L55" s="12"/>
      <c r="M55" s="12" t="n">
        <f aca="false">IF(OR(A55="",F55=""),0,IF(COUNTIFS($A$2:A55,A55,$F$2:F55,F55)=1,1,0))</f>
        <v>1</v>
      </c>
      <c r="N55" s="12" t="str">
        <f aca="false">IF(A55="","",IFERROR(INDEX(Events!$F$2:$F$67,MATCH(A55,Events!$A$2:$A$67,0)),""))</f>
        <v>CRO</v>
      </c>
      <c r="O55" s="12" t="n">
        <f aca="false">IF(AND(G55=1,K55="Yes",N55="POL"),IF(COUNTIFS($A$2:A55,A55,$D$2:D55,D55,$E$2:E55,E55,$G$2:G55,1)=1,1,0),0)</f>
        <v>0</v>
      </c>
      <c r="P55" s="12" t="n">
        <f aca="false">IF(AND(ISNUMBER(G55),K55="Yes",N55="POL"),IF(AND(G55&gt;=1,G55&lt;=3,COUNTIFS($A$2:A55,A55,$D$2:D55,D55,$E$2:E55,E55,$G$2:G55,G55)=1),1,0),0)</f>
        <v>0</v>
      </c>
    </row>
    <row r="56" customFormat="false" ht="15" hidden="false" customHeight="false" outlineLevel="0" collapsed="false">
      <c r="A56" s="12" t="s">
        <v>171</v>
      </c>
      <c r="B56" s="13" t="n">
        <v>46089</v>
      </c>
      <c r="C56" s="12" t="str">
        <f aca="false">IF(A56="","",IFERROR(INDEX(Events!$D$2:$D$67,MATCH(A56,Events!$A$2:$A$67,0)),"Unknown event ID"))</f>
        <v>POREČ Classic Ladies</v>
      </c>
      <c r="D56" s="12" t="s">
        <v>365</v>
      </c>
      <c r="E56" s="12" t="s">
        <v>59</v>
      </c>
      <c r="F56" s="12" t="s">
        <v>65</v>
      </c>
      <c r="G56" s="12"/>
      <c r="H56" s="12" t="s">
        <v>33</v>
      </c>
      <c r="I56" s="12"/>
      <c r="J56" s="12" t="s">
        <v>68</v>
      </c>
      <c r="K56" s="12" t="str">
        <f aca="false">IF(A56="","",IFERROR(IF(INDEX(Events!$J$2:$J$67,MATCH(A56,Events!$A$2:$A$67,0))="Yes",IF(ISNUMBER(SEARCH("Criterium final",D56)),"No","Yes"),"No"),""))</f>
        <v>No</v>
      </c>
      <c r="L56" s="12"/>
      <c r="M56" s="12" t="n">
        <f aca="false">IF(OR(A56="",F56=""),0,IF(COUNTIFS($A$2:A56,A56,$F$2:F56,F56)=1,1,0))</f>
        <v>1</v>
      </c>
      <c r="N56" s="12" t="str">
        <f aca="false">IF(A56="","",IFERROR(INDEX(Events!$F$2:$F$67,MATCH(A56,Events!$A$2:$A$67,0)),""))</f>
        <v>CRO</v>
      </c>
      <c r="O56" s="12" t="n">
        <f aca="false">IF(AND(G56=1,K56="Yes",N56="POL"),IF(COUNTIFS($A$2:A56,A56,$D$2:D56,D56,$E$2:E56,E56,$G$2:G56,1)=1,1,0),0)</f>
        <v>0</v>
      </c>
      <c r="P56" s="12" t="n">
        <f aca="false">IF(AND(ISNUMBER(G56),K56="Yes",N56="POL"),IF(AND(G56&gt;=1,G56&lt;=3,COUNTIFS($A$2:A56,A56,$D$2:D56,D56,$E$2:E56,E56,$G$2:G56,G56)=1),1,0),0)</f>
        <v>0</v>
      </c>
    </row>
    <row r="57" customFormat="false" ht="15" hidden="false" customHeight="false" outlineLevel="0" collapsed="false">
      <c r="A57" s="12" t="s">
        <v>185</v>
      </c>
      <c r="B57" s="13" t="n">
        <v>46118</v>
      </c>
      <c r="C57" s="12" t="str">
        <f aca="false">IF(A57="","",IFERROR(INDEX(Events!$D$2:$D$67,MATCH(A57,Events!$A$2:$A$67,0)),"Unknown event ID"))</f>
        <v>Ronde de Mouscron</v>
      </c>
      <c r="D57" s="12" t="s">
        <v>365</v>
      </c>
      <c r="E57" s="12" t="s">
        <v>59</v>
      </c>
      <c r="F57" s="12" t="s">
        <v>65</v>
      </c>
      <c r="G57" s="12" t="n">
        <v>17</v>
      </c>
      <c r="H57" s="12" t="s">
        <v>366</v>
      </c>
      <c r="I57" s="12"/>
      <c r="J57" s="12" t="s">
        <v>68</v>
      </c>
      <c r="K57" s="12" t="str">
        <f aca="false">IF(A57="","",IFERROR(IF(INDEX(Events!$J$2:$J$67,MATCH(A57,Events!$A$2:$A$67,0))="Yes",IF(ISNUMBER(SEARCH("Criterium final",D57)),"No","Yes"),"No"),""))</f>
        <v>No</v>
      </c>
      <c r="L57" s="12"/>
      <c r="M57" s="12" t="n">
        <f aca="false">IF(OR(A57="",F57=""),0,IF(COUNTIFS($A$2:A57,A57,$F$2:F57,F57)=1,1,0))</f>
        <v>1</v>
      </c>
      <c r="N57" s="12" t="str">
        <f aca="false">IF(A57="","",IFERROR(INDEX(Events!$F$2:$F$67,MATCH(A57,Events!$A$2:$A$67,0)),""))</f>
        <v>BEL</v>
      </c>
      <c r="O57" s="12" t="n">
        <f aca="false">IF(AND(G57=1,K57="Yes",N57="POL"),IF(COUNTIFS($A$2:A57,A57,$D$2:D57,D57,$E$2:E57,E57,$G$2:G57,1)=1,1,0),0)</f>
        <v>0</v>
      </c>
      <c r="P57" s="12" t="n">
        <f aca="false">IF(AND(ISNUMBER(G57),K57="Yes",N57="POL"),IF(AND(G57&gt;=1,G57&lt;=3,COUNTIFS($A$2:A57,A57,$D$2:D57,D57,$E$2:E57,E57,$G$2:G57,G57)=1),1,0),0)</f>
        <v>0</v>
      </c>
    </row>
    <row r="58" customFormat="false" ht="15" hidden="false" customHeight="false" outlineLevel="0" collapsed="false">
      <c r="A58" s="12" t="s">
        <v>188</v>
      </c>
      <c r="B58" s="13" t="n">
        <v>46120</v>
      </c>
      <c r="C58" s="12" t="str">
        <f aca="false">IF(A58="","",IFERROR(INDEX(Events!$D$2:$D$67,MATCH(A58,Events!$A$2:$A$67,0)),"Unknown event ID"))</f>
        <v>Scheldeprijs Vrouwen Elite</v>
      </c>
      <c r="D58" s="12" t="s">
        <v>365</v>
      </c>
      <c r="E58" s="12" t="s">
        <v>59</v>
      </c>
      <c r="F58" s="12" t="s">
        <v>65</v>
      </c>
      <c r="G58" s="12" t="n">
        <v>81</v>
      </c>
      <c r="H58" s="12" t="s">
        <v>366</v>
      </c>
      <c r="I58" s="12"/>
      <c r="J58" s="12" t="s">
        <v>68</v>
      </c>
      <c r="K58" s="12" t="str">
        <f aca="false">IF(A58="","",IFERROR(IF(INDEX(Events!$J$2:$J$67,MATCH(A58,Events!$A$2:$A$67,0))="Yes",IF(ISNUMBER(SEARCH("Criterium final",D58)),"No","Yes"),"No"),""))</f>
        <v>No</v>
      </c>
      <c r="L58" s="12"/>
      <c r="M58" s="12" t="n">
        <f aca="false">IF(OR(A58="",F58=""),0,IF(COUNTIFS($A$2:A58,A58,$F$2:F58,F58)=1,1,0))</f>
        <v>1</v>
      </c>
      <c r="N58" s="12" t="str">
        <f aca="false">IF(A58="","",IFERROR(INDEX(Events!$F$2:$F$67,MATCH(A58,Events!$A$2:$A$67,0)),""))</f>
        <v>BEL</v>
      </c>
      <c r="O58" s="12" t="n">
        <f aca="false">IF(AND(G58=1,K58="Yes",N58="POL"),IF(COUNTIFS($A$2:A58,A58,$D$2:D58,D58,$E$2:E58,E58,$G$2:G58,1)=1,1,0),0)</f>
        <v>0</v>
      </c>
      <c r="P58" s="12" t="n">
        <f aca="false">IF(AND(ISNUMBER(G58),K58="Yes",N58="POL"),IF(AND(G58&gt;=1,G58&lt;=3,COUNTIFS($A$2:A58,A58,$D$2:D58,D58,$E$2:E58,E58,$G$2:G58,G58)=1),1,0),0)</f>
        <v>0</v>
      </c>
    </row>
    <row r="59" customFormat="false" ht="15" hidden="false" customHeight="false" outlineLevel="0" collapsed="false">
      <c r="A59" s="12" t="s">
        <v>191</v>
      </c>
      <c r="B59" s="13" t="n">
        <v>46124</v>
      </c>
      <c r="C59" s="12" t="str">
        <f aca="false">IF(A59="","",IFERROR(INDEX(Events!$D$2:$D$67,MATCH(A59,Events!$A$2:$A$67,0)),"Unknown event ID"))</f>
        <v>Ślężański Mnich</v>
      </c>
      <c r="D59" s="12" t="s">
        <v>367</v>
      </c>
      <c r="E59" s="12" t="s">
        <v>59</v>
      </c>
      <c r="F59" s="12" t="s">
        <v>65</v>
      </c>
      <c r="G59" s="12" t="n">
        <v>2</v>
      </c>
      <c r="H59" s="12" t="s">
        <v>366</v>
      </c>
      <c r="I59" s="12"/>
      <c r="J59" s="12" t="s">
        <v>368</v>
      </c>
      <c r="K59" s="12" t="str">
        <f aca="false">IF(A59="","",IFERROR(IF(INDEX(Events!$J$2:$J$67,MATCH(A59,Events!$A$2:$A$67,0))="Yes",IF(ISNUMBER(SEARCH("Criterium final",D59)),"No","Yes"),"No"),""))</f>
        <v>No</v>
      </c>
      <c r="L59" s="12"/>
      <c r="M59" s="12" t="n">
        <f aca="false">IF(OR(A59="",F59=""),0,IF(COUNTIFS($A$2:A59,A59,$F$2:F59,F59)=1,1,0))</f>
        <v>1</v>
      </c>
      <c r="N59" s="12" t="str">
        <f aca="false">IF(A59="","",IFERROR(INDEX(Events!$F$2:$F$67,MATCH(A59,Events!$A$2:$A$67,0)),""))</f>
        <v>POL</v>
      </c>
      <c r="O59" s="12" t="n">
        <f aca="false">IF(AND(G59=1,K59="Yes",N59="POL"),IF(COUNTIFS($A$2:A59,A59,$D$2:D59,D59,$E$2:E59,E59,$G$2:G59,1)=1,1,0),0)</f>
        <v>0</v>
      </c>
      <c r="P59" s="12" t="n">
        <f aca="false">IF(AND(ISNUMBER(G59),K59="Yes",N59="POL"),IF(AND(G59&gt;=1,G59&lt;=3,COUNTIFS($A$2:A59,A59,$D$2:D59,D59,$E$2:E59,E59,$G$2:G59,G59)=1),1,0),0)</f>
        <v>0</v>
      </c>
    </row>
    <row r="60" customFormat="false" ht="15" hidden="false" customHeight="false" outlineLevel="0" collapsed="false">
      <c r="A60" s="12" t="s">
        <v>191</v>
      </c>
      <c r="B60" s="13" t="n">
        <v>46124</v>
      </c>
      <c r="C60" s="12" t="str">
        <f aca="false">IF(A60="","",IFERROR(INDEX(Events!$D$2:$D$67,MATCH(A60,Events!$A$2:$A$67,0)),"Unknown event ID"))</f>
        <v>Ślężański Mnich</v>
      </c>
      <c r="D60" s="12" t="s">
        <v>367</v>
      </c>
      <c r="E60" s="12" t="s">
        <v>66</v>
      </c>
      <c r="F60" s="12" t="s">
        <v>65</v>
      </c>
      <c r="G60" s="12" t="n">
        <v>2</v>
      </c>
      <c r="H60" s="12" t="s">
        <v>366</v>
      </c>
      <c r="I60" s="12"/>
      <c r="J60" s="12" t="s">
        <v>368</v>
      </c>
      <c r="K60" s="12" t="str">
        <f aca="false">IF(A60="","",IFERROR(IF(INDEX(Events!$J$2:$J$67,MATCH(A60,Events!$A$2:$A$67,0))="Yes",IF(ISNUMBER(SEARCH("Criterium final",D60)),"No","Yes"),"No"),""))</f>
        <v>No</v>
      </c>
      <c r="L60" s="12"/>
      <c r="M60" s="12" t="n">
        <f aca="false">IF(OR(A60="",F60=""),0,IF(COUNTIFS($A$2:A60,A60,$F$2:F60,F60)=1,1,0))</f>
        <v>0</v>
      </c>
      <c r="N60" s="12" t="str">
        <f aca="false">IF(A60="","",IFERROR(INDEX(Events!$F$2:$F$67,MATCH(A60,Events!$A$2:$A$67,0)),""))</f>
        <v>POL</v>
      </c>
      <c r="O60" s="12" t="n">
        <f aca="false">IF(AND(G60=1,K60="Yes",N60="POL"),IF(COUNTIFS($A$2:A60,A60,$D$2:D60,D60,$E$2:E60,E60,$G$2:G60,1)=1,1,0),0)</f>
        <v>0</v>
      </c>
      <c r="P60" s="12" t="n">
        <f aca="false">IF(AND(ISNUMBER(G60),K60="Yes",N60="POL"),IF(AND(G60&gt;=1,G60&lt;=3,COUNTIFS($A$2:A60,A60,$D$2:D60,D60,$E$2:E60,E60,$G$2:G60,G60)=1),1,0),0)</f>
        <v>0</v>
      </c>
    </row>
    <row r="61" customFormat="false" ht="15" hidden="false" customHeight="false" outlineLevel="0" collapsed="false">
      <c r="A61" s="12" t="s">
        <v>193</v>
      </c>
      <c r="B61" s="13" t="n">
        <v>46129</v>
      </c>
      <c r="C61" s="12" t="str">
        <f aca="false">IF(A61="","",IFERROR(INDEX(Events!$D$2:$D$67,MATCH(A61,Events!$A$2:$A$67,0)),"Unknown event ID"))</f>
        <v>De Brabantse Pijl</v>
      </c>
      <c r="D61" s="12" t="s">
        <v>365</v>
      </c>
      <c r="E61" s="12" t="s">
        <v>59</v>
      </c>
      <c r="F61" s="12" t="s">
        <v>65</v>
      </c>
      <c r="G61" s="12"/>
      <c r="H61" s="12" t="s">
        <v>33</v>
      </c>
      <c r="I61" s="12"/>
      <c r="J61" s="12" t="s">
        <v>68</v>
      </c>
      <c r="K61" s="12" t="str">
        <f aca="false">IF(A61="","",IFERROR(IF(INDEX(Events!$J$2:$J$67,MATCH(A61,Events!$A$2:$A$67,0))="Yes",IF(ISNUMBER(SEARCH("Criterium final",D61)),"No","Yes"),"No"),""))</f>
        <v>No</v>
      </c>
      <c r="L61" s="12"/>
      <c r="M61" s="12" t="n">
        <f aca="false">IF(OR(A61="",F61=""),0,IF(COUNTIFS($A$2:A61,A61,$F$2:F61,F61)=1,1,0))</f>
        <v>1</v>
      </c>
      <c r="N61" s="12" t="str">
        <f aca="false">IF(A61="","",IFERROR(INDEX(Events!$F$2:$F$67,MATCH(A61,Events!$A$2:$A$67,0)),""))</f>
        <v>BEL</v>
      </c>
      <c r="O61" s="12" t="n">
        <f aca="false">IF(AND(G61=1,K61="Yes",N61="POL"),IF(COUNTIFS($A$2:A61,A61,$D$2:D61,D61,$E$2:E61,E61,$G$2:G61,1)=1,1,0),0)</f>
        <v>0</v>
      </c>
      <c r="P61" s="12" t="n">
        <f aca="false">IF(AND(ISNUMBER(G61),K61="Yes",N61="POL"),IF(AND(G61&gt;=1,G61&lt;=3,COUNTIFS($A$2:A61,A61,$D$2:D61,D61,$E$2:E61,E61,$G$2:G61,G61)=1),1,0),0)</f>
        <v>0</v>
      </c>
    </row>
    <row r="62" customFormat="false" ht="15" hidden="false" customHeight="false" outlineLevel="0" collapsed="false">
      <c r="A62" s="12" t="s">
        <v>204</v>
      </c>
      <c r="B62" s="13" t="n">
        <v>46137</v>
      </c>
      <c r="C62" s="12" t="str">
        <f aca="false">IF(A62="","",IFERROR(INDEX(Events!$D$2:$D$67,MATCH(A62,Events!$A$2:$A$67,0)),"Unknown event ID"))</f>
        <v>Polish Cup (road)</v>
      </c>
      <c r="D62" s="12" t="s">
        <v>391</v>
      </c>
      <c r="E62" s="12" t="s">
        <v>59</v>
      </c>
      <c r="F62" s="12" t="s">
        <v>65</v>
      </c>
      <c r="G62" s="12" t="n">
        <v>1</v>
      </c>
      <c r="H62" s="12" t="s">
        <v>366</v>
      </c>
      <c r="I62" s="12"/>
      <c r="J62" s="12" t="s">
        <v>392</v>
      </c>
      <c r="K62" s="12" t="str">
        <f aca="false">IF(A62="","",IFERROR(IF(INDEX(Events!$J$2:$J$67,MATCH(A62,Events!$A$2:$A$67,0))="Yes",IF(ISNUMBER(SEARCH("Criterium final",D62)),"No","Yes"),"No"),""))</f>
        <v>No</v>
      </c>
      <c r="L62" s="12"/>
      <c r="M62" s="12" t="n">
        <f aca="false">IF(OR(A62="",F62=""),0,IF(COUNTIFS($A$2:A62,A62,$F$2:F62,F62)=1,1,0))</f>
        <v>1</v>
      </c>
      <c r="N62" s="12" t="str">
        <f aca="false">IF(A62="","",IFERROR(INDEX(Events!$F$2:$F$67,MATCH(A62,Events!$A$2:$A$67,0)),""))</f>
        <v>POL</v>
      </c>
      <c r="O62" s="12" t="n">
        <f aca="false">IF(AND(G62=1,K62="Yes",N62="POL"),IF(COUNTIFS($A$2:A62,A62,$D$2:D62,D62,$E$2:E62,E62,$G$2:G62,1)=1,1,0),0)</f>
        <v>0</v>
      </c>
      <c r="P62" s="12" t="n">
        <f aca="false">IF(AND(ISNUMBER(G62),K62="Yes",N62="POL"),IF(AND(G62&gt;=1,G62&lt;=3,COUNTIFS($A$2:A62,A62,$D$2:D62,D62,$E$2:E62,E62,$G$2:G62,G62)=1),1,0),0)</f>
        <v>0</v>
      </c>
    </row>
    <row r="63" customFormat="false" ht="15" hidden="false" customHeight="false" outlineLevel="0" collapsed="false">
      <c r="A63" s="12" t="s">
        <v>204</v>
      </c>
      <c r="B63" s="13" t="n">
        <v>46137</v>
      </c>
      <c r="C63" s="12" t="str">
        <f aca="false">IF(A63="","",IFERROR(INDEX(Events!$D$2:$D$67,MATCH(A63,Events!$A$2:$A$67,0)),"Unknown event ID"))</f>
        <v>Polish Cup (road)</v>
      </c>
      <c r="D63" s="12" t="s">
        <v>391</v>
      </c>
      <c r="E63" s="12" t="s">
        <v>66</v>
      </c>
      <c r="F63" s="12" t="s">
        <v>65</v>
      </c>
      <c r="G63" s="12" t="n">
        <v>1</v>
      </c>
      <c r="H63" s="12" t="s">
        <v>366</v>
      </c>
      <c r="I63" s="12"/>
      <c r="J63" s="12" t="s">
        <v>392</v>
      </c>
      <c r="K63" s="12" t="str">
        <f aca="false">IF(A63="","",IFERROR(IF(INDEX(Events!$J$2:$J$67,MATCH(A63,Events!$A$2:$A$67,0))="Yes",IF(ISNUMBER(SEARCH("Criterium final",D63)),"No","Yes"),"No"),""))</f>
        <v>No</v>
      </c>
      <c r="L63" s="12"/>
      <c r="M63" s="12" t="n">
        <f aca="false">IF(OR(A63="",F63=""),0,IF(COUNTIFS($A$2:A63,A63,$F$2:F63,F63)=1,1,0))</f>
        <v>0</v>
      </c>
      <c r="N63" s="12" t="str">
        <f aca="false">IF(A63="","",IFERROR(INDEX(Events!$F$2:$F$67,MATCH(A63,Events!$A$2:$A$67,0)),""))</f>
        <v>POL</v>
      </c>
      <c r="O63" s="12" t="n">
        <f aca="false">IF(AND(G63=1,K63="Yes",N63="POL"),IF(COUNTIFS($A$2:A63,A63,$D$2:D63,D63,$E$2:E63,E63,$G$2:G63,1)=1,1,0),0)</f>
        <v>0</v>
      </c>
      <c r="P63" s="12" t="n">
        <f aca="false">IF(AND(ISNUMBER(G63),K63="Yes",N63="POL"),IF(AND(G63&gt;=1,G63&lt;=3,COUNTIFS($A$2:A63,A63,$D$2:D63,D63,$E$2:E63,E63,$G$2:G63,G63)=1),1,0),0)</f>
        <v>0</v>
      </c>
    </row>
    <row r="64" customFormat="false" ht="15" hidden="false" customHeight="false" outlineLevel="0" collapsed="false">
      <c r="A64" s="12" t="s">
        <v>204</v>
      </c>
      <c r="B64" s="13" t="n">
        <v>46138</v>
      </c>
      <c r="C64" s="12" t="str">
        <f aca="false">IF(A64="","",IFERROR(INDEX(Events!$D$2:$D$67,MATCH(A64,Events!$A$2:$A$67,0)),"Unknown event ID"))</f>
        <v>Polish Cup (road)</v>
      </c>
      <c r="D64" s="12" t="s">
        <v>393</v>
      </c>
      <c r="E64" s="12" t="s">
        <v>59</v>
      </c>
      <c r="F64" s="12" t="s">
        <v>65</v>
      </c>
      <c r="G64" s="12" t="n">
        <v>2</v>
      </c>
      <c r="H64" s="12" t="s">
        <v>366</v>
      </c>
      <c r="I64" s="12"/>
      <c r="J64" s="12" t="s">
        <v>392</v>
      </c>
      <c r="K64" s="12" t="str">
        <f aca="false">IF(A64="","",IFERROR(IF(INDEX(Events!$J$2:$J$67,MATCH(A64,Events!$A$2:$A$67,0))="Yes",IF(ISNUMBER(SEARCH("Criterium final",D64)),"No","Yes"),"No"),""))</f>
        <v>No</v>
      </c>
      <c r="L64" s="12"/>
      <c r="M64" s="12" t="n">
        <f aca="false">IF(OR(A64="",F64=""),0,IF(COUNTIFS($A$2:A64,A64,$F$2:F64,F64)=1,1,0))</f>
        <v>0</v>
      </c>
      <c r="N64" s="12" t="str">
        <f aca="false">IF(A64="","",IFERROR(INDEX(Events!$F$2:$F$67,MATCH(A64,Events!$A$2:$A$67,0)),""))</f>
        <v>POL</v>
      </c>
      <c r="O64" s="12" t="n">
        <f aca="false">IF(AND(G64=1,K64="Yes",N64="POL"),IF(COUNTIFS($A$2:A64,A64,$D$2:D64,D64,$E$2:E64,E64,$G$2:G64,1)=1,1,0),0)</f>
        <v>0</v>
      </c>
      <c r="P64" s="12" t="n">
        <f aca="false">IF(AND(ISNUMBER(G64),K64="Yes",N64="POL"),IF(AND(G64&gt;=1,G64&lt;=3,COUNTIFS($A$2:A64,A64,$D$2:D64,D64,$E$2:E64,E64,$G$2:G64,G64)=1),1,0),0)</f>
        <v>0</v>
      </c>
    </row>
    <row r="65" customFormat="false" ht="15" hidden="false" customHeight="false" outlineLevel="0" collapsed="false">
      <c r="A65" s="12" t="s">
        <v>207</v>
      </c>
      <c r="B65" s="13" t="n">
        <v>46142</v>
      </c>
      <c r="C65" s="12" t="str">
        <f aca="false">IF(A65="","",IFERROR(INDEX(Events!$D$2:$D$67,MATCH(A65,Events!$A$2:$A$67,0)),"Unknown event ID"))</f>
        <v>Gracia Orlová</v>
      </c>
      <c r="D65" s="12" t="s">
        <v>377</v>
      </c>
      <c r="E65" s="12" t="s">
        <v>59</v>
      </c>
      <c r="F65" s="12" t="s">
        <v>65</v>
      </c>
      <c r="G65" s="12" t="n">
        <v>42</v>
      </c>
      <c r="H65" s="12" t="s">
        <v>366</v>
      </c>
      <c r="I65" s="12"/>
      <c r="J65" s="12" t="s">
        <v>68</v>
      </c>
      <c r="K65" s="12" t="str">
        <f aca="false">IF(A65="","",IFERROR(IF(INDEX(Events!$J$2:$J$67,MATCH(A65,Events!$A$2:$A$67,0))="Yes",IF(ISNUMBER(SEARCH("Criterium final",D65)),"No","Yes"),"No"),""))</f>
        <v>No</v>
      </c>
      <c r="L65" s="12"/>
      <c r="M65" s="12" t="n">
        <f aca="false">IF(OR(A65="",F65=""),0,IF(COUNTIFS($A$2:A65,A65,$F$2:F65,F65)=1,1,0))</f>
        <v>1</v>
      </c>
      <c r="N65" s="12" t="str">
        <f aca="false">IF(A65="","",IFERROR(INDEX(Events!$F$2:$F$67,MATCH(A65,Events!$A$2:$A$67,0)),""))</f>
        <v>CZE</v>
      </c>
      <c r="O65" s="12" t="n">
        <f aca="false">IF(AND(G65=1,K65="Yes",N65="POL"),IF(COUNTIFS($A$2:A65,A65,$D$2:D65,D65,$E$2:E65,E65,$G$2:G65,1)=1,1,0),0)</f>
        <v>0</v>
      </c>
      <c r="P65" s="12" t="n">
        <f aca="false">IF(AND(ISNUMBER(G65),K65="Yes",N65="POL"),IF(AND(G65&gt;=1,G65&lt;=3,COUNTIFS($A$2:A65,A65,$D$2:D65,D65,$E$2:E65,E65,$G$2:G65,G65)=1),1,0),0)</f>
        <v>0</v>
      </c>
    </row>
    <row r="66" customFormat="false" ht="15" hidden="false" customHeight="false" outlineLevel="0" collapsed="false">
      <c r="A66" s="12" t="s">
        <v>207</v>
      </c>
      <c r="B66" s="13" t="n">
        <v>46143</v>
      </c>
      <c r="C66" s="12" t="str">
        <f aca="false">IF(A66="","",IFERROR(INDEX(Events!$D$2:$D$67,MATCH(A66,Events!$A$2:$A$67,0)),"Unknown event ID"))</f>
        <v>Gracia Orlová</v>
      </c>
      <c r="D66" s="12" t="s">
        <v>373</v>
      </c>
      <c r="E66" s="12" t="s">
        <v>59</v>
      </c>
      <c r="F66" s="12" t="s">
        <v>65</v>
      </c>
      <c r="G66" s="12" t="n">
        <v>47</v>
      </c>
      <c r="H66" s="12" t="s">
        <v>366</v>
      </c>
      <c r="I66" s="12"/>
      <c r="J66" s="12" t="s">
        <v>68</v>
      </c>
      <c r="K66" s="12" t="str">
        <f aca="false">IF(A66="","",IFERROR(IF(INDEX(Events!$J$2:$J$67,MATCH(A66,Events!$A$2:$A$67,0))="Yes",IF(ISNUMBER(SEARCH("Criterium final",D66)),"No","Yes"),"No"),""))</f>
        <v>No</v>
      </c>
      <c r="L66" s="12"/>
      <c r="M66" s="12" t="n">
        <f aca="false">IF(OR(A66="",F66=""),0,IF(COUNTIFS($A$2:A66,A66,$F$2:F66,F66)=1,1,0))</f>
        <v>0</v>
      </c>
      <c r="N66" s="12" t="str">
        <f aca="false">IF(A66="","",IFERROR(INDEX(Events!$F$2:$F$67,MATCH(A66,Events!$A$2:$A$67,0)),""))</f>
        <v>CZE</v>
      </c>
      <c r="O66" s="12" t="n">
        <f aca="false">IF(AND(G66=1,K66="Yes",N66="POL"),IF(COUNTIFS($A$2:A66,A66,$D$2:D66,D66,$E$2:E66,E66,$G$2:G66,1)=1,1,0),0)</f>
        <v>0</v>
      </c>
      <c r="P66" s="12" t="n">
        <f aca="false">IF(AND(ISNUMBER(G66),K66="Yes",N66="POL"),IF(AND(G66&gt;=1,G66&lt;=3,COUNTIFS($A$2:A66,A66,$D$2:D66,D66,$E$2:E66,E66,$G$2:G66,G66)=1),1,0),0)</f>
        <v>0</v>
      </c>
    </row>
    <row r="67" customFormat="false" ht="15" hidden="false" customHeight="false" outlineLevel="0" collapsed="false">
      <c r="A67" s="12" t="s">
        <v>207</v>
      </c>
      <c r="B67" s="13" t="n">
        <v>46144</v>
      </c>
      <c r="C67" s="12" t="str">
        <f aca="false">IF(A67="","",IFERROR(INDEX(Events!$D$2:$D$67,MATCH(A67,Events!$A$2:$A$67,0)),"Unknown event ID"))</f>
        <v>Gracia Orlová</v>
      </c>
      <c r="D67" s="12" t="s">
        <v>374</v>
      </c>
      <c r="E67" s="12" t="s">
        <v>59</v>
      </c>
      <c r="F67" s="12" t="s">
        <v>65</v>
      </c>
      <c r="G67" s="12" t="n">
        <v>18</v>
      </c>
      <c r="H67" s="12" t="s">
        <v>366</v>
      </c>
      <c r="I67" s="12"/>
      <c r="J67" s="12" t="s">
        <v>68</v>
      </c>
      <c r="K67" s="12" t="str">
        <f aca="false">IF(A67="","",IFERROR(IF(INDEX(Events!$J$2:$J$67,MATCH(A67,Events!$A$2:$A$67,0))="Yes",IF(ISNUMBER(SEARCH("Criterium final",D67)),"No","Yes"),"No"),""))</f>
        <v>No</v>
      </c>
      <c r="L67" s="12"/>
      <c r="M67" s="12" t="n">
        <f aca="false">IF(OR(A67="",F67=""),0,IF(COUNTIFS($A$2:A67,A67,$F$2:F67,F67)=1,1,0))</f>
        <v>0</v>
      </c>
      <c r="N67" s="12" t="str">
        <f aca="false">IF(A67="","",IFERROR(INDEX(Events!$F$2:$F$67,MATCH(A67,Events!$A$2:$A$67,0)),""))</f>
        <v>CZE</v>
      </c>
      <c r="O67" s="12" t="n">
        <f aca="false">IF(AND(G67=1,K67="Yes",N67="POL"),IF(COUNTIFS($A$2:A67,A67,$D$2:D67,D67,$E$2:E67,E67,$G$2:G67,1)=1,1,0),0)</f>
        <v>0</v>
      </c>
      <c r="P67" s="12" t="n">
        <f aca="false">IF(AND(ISNUMBER(G67),K67="Yes",N67="POL"),IF(AND(G67&gt;=1,G67&lt;=3,COUNTIFS($A$2:A67,A67,$D$2:D67,D67,$E$2:E67,E67,$G$2:G67,G67)=1),1,0),0)</f>
        <v>0</v>
      </c>
    </row>
    <row r="68" customFormat="false" ht="15" hidden="false" customHeight="false" outlineLevel="0" collapsed="false">
      <c r="A68" s="12" t="s">
        <v>207</v>
      </c>
      <c r="B68" s="13" t="n">
        <v>46144</v>
      </c>
      <c r="C68" s="12" t="str">
        <f aca="false">IF(A68="","",IFERROR(INDEX(Events!$D$2:$D$67,MATCH(A68,Events!$A$2:$A$67,0)),"Unknown event ID"))</f>
        <v>Gracia Orlová</v>
      </c>
      <c r="D68" s="12" t="s">
        <v>375</v>
      </c>
      <c r="E68" s="12" t="s">
        <v>59</v>
      </c>
      <c r="F68" s="12" t="s">
        <v>65</v>
      </c>
      <c r="G68" s="12" t="n">
        <v>6</v>
      </c>
      <c r="H68" s="12" t="s">
        <v>366</v>
      </c>
      <c r="I68" s="12"/>
      <c r="J68" s="12" t="s">
        <v>68</v>
      </c>
      <c r="K68" s="12" t="str">
        <f aca="false">IF(A68="","",IFERROR(IF(INDEX(Events!$J$2:$J$67,MATCH(A68,Events!$A$2:$A$67,0))="Yes",IF(ISNUMBER(SEARCH("Criterium final",D68)),"No","Yes"),"No"),""))</f>
        <v>No</v>
      </c>
      <c r="L68" s="12"/>
      <c r="M68" s="12" t="n">
        <f aca="false">IF(OR(A68="",F68=""),0,IF(COUNTIFS($A$2:A68,A68,$F$2:F68,F68)=1,1,0))</f>
        <v>0</v>
      </c>
      <c r="N68" s="12" t="str">
        <f aca="false">IF(A68="","",IFERROR(INDEX(Events!$F$2:$F$67,MATCH(A68,Events!$A$2:$A$67,0)),""))</f>
        <v>CZE</v>
      </c>
      <c r="O68" s="12" t="n">
        <f aca="false">IF(AND(G68=1,K68="Yes",N68="POL"),IF(COUNTIFS($A$2:A68,A68,$D$2:D68,D68,$E$2:E68,E68,$G$2:G68,1)=1,1,0),0)</f>
        <v>0</v>
      </c>
      <c r="P68" s="12" t="n">
        <f aca="false">IF(AND(ISNUMBER(G68),K68="Yes",N68="POL"),IF(AND(G68&gt;=1,G68&lt;=3,COUNTIFS($A$2:A68,A68,$D$2:D68,D68,$E$2:E68,E68,$G$2:G68,G68)=1),1,0),0)</f>
        <v>0</v>
      </c>
    </row>
    <row r="69" customFormat="false" ht="15" hidden="false" customHeight="false" outlineLevel="0" collapsed="false">
      <c r="A69" s="12" t="s">
        <v>207</v>
      </c>
      <c r="B69" s="13" t="n">
        <v>46145</v>
      </c>
      <c r="C69" s="12" t="str">
        <f aca="false">IF(A69="","",IFERROR(INDEX(Events!$D$2:$D$67,MATCH(A69,Events!$A$2:$A$67,0)),"Unknown event ID"))</f>
        <v>Gracia Orlová</v>
      </c>
      <c r="D69" s="12" t="s">
        <v>394</v>
      </c>
      <c r="E69" s="12" t="s">
        <v>59</v>
      </c>
      <c r="F69" s="12" t="s">
        <v>65</v>
      </c>
      <c r="G69" s="12" t="n">
        <v>17</v>
      </c>
      <c r="H69" s="12" t="s">
        <v>366</v>
      </c>
      <c r="I69" s="12"/>
      <c r="J69" s="12" t="s">
        <v>68</v>
      </c>
      <c r="K69" s="12" t="str">
        <f aca="false">IF(A69="","",IFERROR(IF(INDEX(Events!$J$2:$J$67,MATCH(A69,Events!$A$2:$A$67,0))="Yes",IF(ISNUMBER(SEARCH("Criterium final",D69)),"No","Yes"),"No"),""))</f>
        <v>No</v>
      </c>
      <c r="L69" s="12"/>
      <c r="M69" s="12" t="n">
        <f aca="false">IF(OR(A69="",F69=""),0,IF(COUNTIFS($A$2:A69,A69,$F$2:F69,F69)=1,1,0))</f>
        <v>0</v>
      </c>
      <c r="N69" s="12" t="str">
        <f aca="false">IF(A69="","",IFERROR(INDEX(Events!$F$2:$F$67,MATCH(A69,Events!$A$2:$A$67,0)),""))</f>
        <v>CZE</v>
      </c>
      <c r="O69" s="12" t="n">
        <f aca="false">IF(AND(G69=1,K69="Yes",N69="POL"),IF(COUNTIFS($A$2:A69,A69,$D$2:D69,D69,$E$2:E69,E69,$G$2:G69,1)=1,1,0),0)</f>
        <v>0</v>
      </c>
      <c r="P69" s="12" t="n">
        <f aca="false">IF(AND(ISNUMBER(G69),K69="Yes",N69="POL"),IF(AND(G69&gt;=1,G69&lt;=3,COUNTIFS($A$2:A69,A69,$D$2:D69,D69,$E$2:E69,E69,$G$2:G69,G69)=1),1,0),0)</f>
        <v>0</v>
      </c>
    </row>
    <row r="70" customFormat="false" ht="15" hidden="false" customHeight="false" outlineLevel="0" collapsed="false">
      <c r="A70" s="12" t="s">
        <v>207</v>
      </c>
      <c r="B70" s="13" t="n">
        <v>46145</v>
      </c>
      <c r="C70" s="12" t="str">
        <f aca="false">IF(A70="","",IFERROR(INDEX(Events!$D$2:$D$67,MATCH(A70,Events!$A$2:$A$67,0)),"Unknown event ID"))</f>
        <v>Gracia Orlová</v>
      </c>
      <c r="D70" s="12" t="s">
        <v>376</v>
      </c>
      <c r="E70" s="12" t="s">
        <v>59</v>
      </c>
      <c r="F70" s="12" t="s">
        <v>65</v>
      </c>
      <c r="G70" s="12" t="n">
        <v>28</v>
      </c>
      <c r="H70" s="12" t="s">
        <v>366</v>
      </c>
      <c r="I70" s="12"/>
      <c r="J70" s="12" t="s">
        <v>68</v>
      </c>
      <c r="K70" s="12" t="str">
        <f aca="false">IF(A70="","",IFERROR(IF(INDEX(Events!$J$2:$J$67,MATCH(A70,Events!$A$2:$A$67,0))="Yes",IF(ISNUMBER(SEARCH("Criterium final",D70)),"No","Yes"),"No"),""))</f>
        <v>No</v>
      </c>
      <c r="L70" s="12"/>
      <c r="M70" s="12" t="n">
        <f aca="false">IF(OR(A70="",F70=""),0,IF(COUNTIFS($A$2:A70,A70,$F$2:F70,F70)=1,1,0))</f>
        <v>0</v>
      </c>
      <c r="N70" s="12" t="str">
        <f aca="false">IF(A70="","",IFERROR(INDEX(Events!$F$2:$F$67,MATCH(A70,Events!$A$2:$A$67,0)),""))</f>
        <v>CZE</v>
      </c>
      <c r="O70" s="12" t="n">
        <f aca="false">IF(AND(G70=1,K70="Yes",N70="POL"),IF(COUNTIFS($A$2:A70,A70,$D$2:D70,D70,$E$2:E70,E70,$G$2:G70,1)=1,1,0),0)</f>
        <v>0</v>
      </c>
      <c r="P70" s="12" t="n">
        <f aca="false">IF(AND(ISNUMBER(G70),K70="Yes",N70="POL"),IF(AND(G70&gt;=1,G70&lt;=3,COUNTIFS($A$2:A70,A70,$D$2:D70,D70,$E$2:E70,E70,$G$2:G70,G70)=1),1,0),0)</f>
        <v>0</v>
      </c>
    </row>
    <row r="71" customFormat="false" ht="15" hidden="false" customHeight="false" outlineLevel="0" collapsed="false">
      <c r="A71" s="12" t="s">
        <v>233</v>
      </c>
      <c r="B71" s="13" t="n">
        <v>46172</v>
      </c>
      <c r="C71" s="12" t="str">
        <f aca="false">IF(A71="","",IFERROR(INDEX(Events!$D$2:$D$67,MATCH(A71,Events!$A$2:$A$67,0)),"Unknown event ID"))</f>
        <v>Polish Cup (road)</v>
      </c>
      <c r="D71" s="12" t="s">
        <v>395</v>
      </c>
      <c r="E71" s="12" t="s">
        <v>396</v>
      </c>
      <c r="F71" s="12" t="s">
        <v>65</v>
      </c>
      <c r="G71" s="12" t="n">
        <v>1</v>
      </c>
      <c r="H71" s="12" t="s">
        <v>366</v>
      </c>
      <c r="I71" s="12"/>
      <c r="J71" s="12" t="s">
        <v>397</v>
      </c>
      <c r="K71" s="12" t="str">
        <f aca="false">IF(A71="","",IFERROR(IF(INDEX(Events!$J$2:$J$67,MATCH(A71,Events!$A$2:$A$67,0))="Yes",IF(ISNUMBER(SEARCH("Criterium final",D71)),"No","Yes"),"No"),""))</f>
        <v>No</v>
      </c>
      <c r="L71" s="12"/>
      <c r="M71" s="12" t="n">
        <f aca="false">IF(OR(A71="",F71=""),0,IF(COUNTIFS($A$2:A71,A71,$F$2:F71,F71)=1,1,0))</f>
        <v>1</v>
      </c>
      <c r="N71" s="12" t="str">
        <f aca="false">IF(A71="","",IFERROR(INDEX(Events!$F$2:$F$67,MATCH(A71,Events!$A$2:$A$67,0)),""))</f>
        <v>POL</v>
      </c>
      <c r="O71" s="12" t="n">
        <f aca="false">IF(AND(G71=1,K71="Yes",N71="POL"),IF(COUNTIFS($A$2:A71,A71,$D$2:D71,D71,$E$2:E71,E71,$G$2:G71,1)=1,1,0),0)</f>
        <v>0</v>
      </c>
      <c r="P71" s="12" t="n">
        <f aca="false">IF(AND(ISNUMBER(G71),K71="Yes",N71="POL"),IF(AND(G71&gt;=1,G71&lt;=3,COUNTIFS($A$2:A71,A71,$D$2:D71,D71,$E$2:E71,E71,$G$2:G71,G71)=1),1,0),0)</f>
        <v>0</v>
      </c>
    </row>
    <row r="72" customFormat="false" ht="15" hidden="false" customHeight="false" outlineLevel="0" collapsed="false">
      <c r="A72" s="12" t="s">
        <v>235</v>
      </c>
      <c r="B72" s="13" t="n">
        <v>46180</v>
      </c>
      <c r="C72" s="12" t="str">
        <f aca="false">IF(A72="","",IFERROR(INDEX(Events!$D$2:$D$67,MATCH(A72,Events!$A$2:$A$67,0)),"Unknown event ID"))</f>
        <v>Dwars door de Westhoek</v>
      </c>
      <c r="D72" s="12" t="s">
        <v>365</v>
      </c>
      <c r="E72" s="12" t="s">
        <v>59</v>
      </c>
      <c r="F72" s="12" t="s">
        <v>65</v>
      </c>
      <c r="G72" s="12"/>
      <c r="H72" s="12" t="s">
        <v>33</v>
      </c>
      <c r="I72" s="12"/>
      <c r="J72" s="12" t="s">
        <v>68</v>
      </c>
      <c r="K72" s="12" t="str">
        <f aca="false">IF(A72="","",IFERROR(IF(INDEX(Events!$J$2:$J$67,MATCH(A72,Events!$A$2:$A$67,0))="Yes",IF(ISNUMBER(SEARCH("Criterium final",D72)),"No","Yes"),"No"),""))</f>
        <v>No</v>
      </c>
      <c r="L72" s="12"/>
      <c r="M72" s="12" t="n">
        <f aca="false">IF(OR(A72="",F72=""),0,IF(COUNTIFS($A$2:A72,A72,$F$2:F72,F72)=1,1,0))</f>
        <v>1</v>
      </c>
      <c r="N72" s="12" t="str">
        <f aca="false">IF(A72="","",IFERROR(INDEX(Events!$F$2:$F$67,MATCH(A72,Events!$A$2:$A$67,0)),""))</f>
        <v>BEL</v>
      </c>
      <c r="O72" s="12" t="n">
        <f aca="false">IF(AND(G72=1,K72="Yes",N72="POL"),IF(COUNTIFS($A$2:A72,A72,$D$2:D72,D72,$E$2:E72,E72,$G$2:G72,1)=1,1,0),0)</f>
        <v>0</v>
      </c>
      <c r="P72" s="12" t="n">
        <f aca="false">IF(AND(ISNUMBER(G72),K72="Yes",N72="POL"),IF(AND(G72&gt;=1,G72&lt;=3,COUNTIFS($A$2:A72,A72,$D$2:D72,D72,$E$2:E72,E72,$G$2:G72,G72)=1),1,0),0)</f>
        <v>0</v>
      </c>
    </row>
    <row r="73" customFormat="false" ht="15" hidden="false" customHeight="false" outlineLevel="0" collapsed="false">
      <c r="A73" s="12" t="s">
        <v>246</v>
      </c>
      <c r="B73" s="13" t="n">
        <v>46198</v>
      </c>
      <c r="C73" s="12" t="str">
        <f aca="false">IF(A73="","",IFERROR(INDEX(Events!$D$2:$D$67,MATCH(A73,Events!$A$2:$A$67,0)),"Unknown event ID"))</f>
        <v>Polish Road Championships (ITT + road race)</v>
      </c>
      <c r="D73" s="12" t="s">
        <v>387</v>
      </c>
      <c r="E73" s="12" t="s">
        <v>66</v>
      </c>
      <c r="F73" s="12" t="s">
        <v>65</v>
      </c>
      <c r="G73" s="12" t="n">
        <v>1</v>
      </c>
      <c r="H73" s="12" t="s">
        <v>366</v>
      </c>
      <c r="I73" s="12" t="s">
        <v>398</v>
      </c>
      <c r="J73" s="12" t="s">
        <v>68</v>
      </c>
      <c r="K73" s="12" t="str">
        <f aca="false">IF(A73="","",IFERROR(IF(INDEX(Events!$J$2:$J$67,MATCH(A73,Events!$A$2:$A$67,0))="Yes",IF(ISNUMBER(SEARCH("Criterium final",D73)),"No","Yes"),"No"),""))</f>
        <v>Yes</v>
      </c>
      <c r="L73" s="12"/>
      <c r="M73" s="12" t="n">
        <f aca="false">IF(OR(A73="",F73=""),0,IF(COUNTIFS($A$2:A73,A73,$F$2:F73,F73)=1,1,0))</f>
        <v>1</v>
      </c>
      <c r="N73" s="12" t="str">
        <f aca="false">IF(A73="","",IFERROR(INDEX(Events!$F$2:$F$67,MATCH(A73,Events!$A$2:$A$67,0)),""))</f>
        <v>POL</v>
      </c>
      <c r="O73" s="12" t="n">
        <f aca="false">IF(AND(G73=1,K73="Yes",N73="POL"),IF(COUNTIFS($A$2:A73,A73,$D$2:D73,D73,$E$2:E73,E73,$G$2:G73,1)=1,1,0),0)</f>
        <v>1</v>
      </c>
      <c r="P73" s="12" t="n">
        <f aca="false">IF(AND(ISNUMBER(G73),K73="Yes",N73="POL"),IF(AND(G73&gt;=1,G73&lt;=3,COUNTIFS($A$2:A73,A73,$D$2:D73,D73,$E$2:E73,E73,$G$2:G73,G73)=1),1,0),0)</f>
        <v>1</v>
      </c>
    </row>
    <row r="74" customFormat="false" ht="15" hidden="false" customHeight="false" outlineLevel="0" collapsed="false">
      <c r="A74" s="12" t="s">
        <v>246</v>
      </c>
      <c r="B74" s="13" t="n">
        <v>46200</v>
      </c>
      <c r="C74" s="12" t="str">
        <f aca="false">IF(A74="","",IFERROR(INDEX(Events!$D$2:$D$67,MATCH(A74,Events!$A$2:$A$67,0)),"Unknown event ID"))</f>
        <v>Polish Road Championships (ITT + road race)</v>
      </c>
      <c r="D74" s="12" t="s">
        <v>367</v>
      </c>
      <c r="E74" s="12" t="s">
        <v>59</v>
      </c>
      <c r="F74" s="12" t="s">
        <v>65</v>
      </c>
      <c r="G74" s="12" t="n">
        <v>13</v>
      </c>
      <c r="H74" s="12" t="s">
        <v>366</v>
      </c>
      <c r="I74" s="12"/>
      <c r="J74" s="12" t="s">
        <v>68</v>
      </c>
      <c r="K74" s="12" t="str">
        <f aca="false">IF(A74="","",IFERROR(IF(INDEX(Events!$J$2:$J$67,MATCH(A74,Events!$A$2:$A$67,0))="Yes",IF(ISNUMBER(SEARCH("Criterium final",D74)),"No","Yes"),"No"),""))</f>
        <v>Yes</v>
      </c>
      <c r="L74" s="12"/>
      <c r="M74" s="12" t="n">
        <f aca="false">IF(OR(A74="",F74=""),0,IF(COUNTIFS($A$2:A74,A74,$F$2:F74,F74)=1,1,0))</f>
        <v>0</v>
      </c>
      <c r="N74" s="12" t="str">
        <f aca="false">IF(A74="","",IFERROR(INDEX(Events!$F$2:$F$67,MATCH(A74,Events!$A$2:$A$67,0)),""))</f>
        <v>POL</v>
      </c>
      <c r="O74" s="12" t="n">
        <f aca="false">IF(AND(G74=1,K74="Yes",N74="POL"),IF(COUNTIFS($A$2:A74,A74,$D$2:D74,D74,$E$2:E74,E74,$G$2:G74,1)=1,1,0),0)</f>
        <v>0</v>
      </c>
      <c r="P74" s="12" t="n">
        <f aca="false">IF(AND(ISNUMBER(G74),K74="Yes",N74="POL"),IF(AND(G74&gt;=1,G74&lt;=3,COUNTIFS($A$2:A74,A74,$D$2:D74,D74,$E$2:E74,E74,$G$2:G74,G74)=1),1,0),0)</f>
        <v>0</v>
      </c>
    </row>
    <row r="75" customFormat="false" ht="15" hidden="false" customHeight="false" outlineLevel="0" collapsed="false">
      <c r="A75" s="12" t="s">
        <v>249</v>
      </c>
      <c r="B75" s="13" t="n">
        <v>46213</v>
      </c>
      <c r="C75" s="12" t="str">
        <f aca="false">IF(A75="","",IFERROR(INDEX(Events!$D$2:$D$67,MATCH(A75,Events!$A$2:$A$67,0)),"Unknown event ID"))</f>
        <v>UEC Track Junior &amp; U23 European Championships</v>
      </c>
      <c r="D75" s="12" t="s">
        <v>369</v>
      </c>
      <c r="E75" s="12" t="s">
        <v>66</v>
      </c>
      <c r="F75" s="12" t="s">
        <v>65</v>
      </c>
      <c r="G75" s="12" t="n">
        <v>3</v>
      </c>
      <c r="H75" s="12" t="s">
        <v>366</v>
      </c>
      <c r="I75" s="12" t="s">
        <v>399</v>
      </c>
      <c r="J75" s="12" t="s">
        <v>400</v>
      </c>
      <c r="K75" s="12" t="str">
        <f aca="false">IF(A75="","",IFERROR(IF(INDEX(Events!$J$2:$J$67,MATCH(A75,Events!$A$2:$A$67,0))="Yes",IF(ISNUMBER(SEARCH("Criterium final",D75)),"No","Yes"),"No"),""))</f>
        <v>No</v>
      </c>
      <c r="L75" s="12"/>
      <c r="M75" s="12" t="n">
        <f aca="false">IF(OR(A75="",F75=""),0,IF(COUNTIFS($A$2:A75,A75,$F$2:F75,F75)=1,1,0))</f>
        <v>1</v>
      </c>
      <c r="N75" s="12" t="str">
        <f aca="false">IF(A75="","",IFERROR(INDEX(Events!$F$2:$F$67,MATCH(A75,Events!$A$2:$A$67,0)),""))</f>
        <v>GER</v>
      </c>
      <c r="O75" s="12" t="n">
        <f aca="false">IF(AND(G75=1,K75="Yes",N75="POL"),IF(COUNTIFS($A$2:A75,A75,$D$2:D75,D75,$E$2:E75,E75,$G$2:G75,1)=1,1,0),0)</f>
        <v>0</v>
      </c>
      <c r="P75" s="12" t="n">
        <f aca="false">IF(AND(ISNUMBER(G75),K75="Yes",N75="POL"),IF(AND(G75&gt;=1,G75&lt;=3,COUNTIFS($A$2:A75,A75,$D$2:D75,D75,$E$2:E75,E75,$G$2:G75,G75)=1),1,0),0)</f>
        <v>0</v>
      </c>
    </row>
    <row r="76" customFormat="false" ht="15" hidden="false" customHeight="false" outlineLevel="0" collapsed="false">
      <c r="A76" s="12" t="s">
        <v>249</v>
      </c>
      <c r="B76" s="13" t="n">
        <v>46214</v>
      </c>
      <c r="C76" s="12" t="str">
        <f aca="false">IF(A76="","",IFERROR(INDEX(Events!$D$2:$D$67,MATCH(A76,Events!$A$2:$A$67,0)),"Unknown event ID"))</f>
        <v>UEC Track Junior &amp; U23 European Championships</v>
      </c>
      <c r="D76" s="12" t="s">
        <v>371</v>
      </c>
      <c r="E76" s="12" t="s">
        <v>66</v>
      </c>
      <c r="F76" s="12" t="s">
        <v>65</v>
      </c>
      <c r="G76" s="12"/>
      <c r="H76" s="12" t="s">
        <v>33</v>
      </c>
      <c r="I76" s="12" t="s">
        <v>401</v>
      </c>
      <c r="J76" s="12" t="s">
        <v>402</v>
      </c>
      <c r="K76" s="12" t="str">
        <f aca="false">IF(A76="","",IFERROR(IF(INDEX(Events!$J$2:$J$67,MATCH(A76,Events!$A$2:$A$67,0))="Yes",IF(ISNUMBER(SEARCH("Criterium final",D76)),"No","Yes"),"No"),""))</f>
        <v>No</v>
      </c>
      <c r="L76" s="12"/>
      <c r="M76" s="12" t="n">
        <f aca="false">IF(OR(A76="",F76=""),0,IF(COUNTIFS($A$2:A76,A76,$F$2:F76,F76)=1,1,0))</f>
        <v>0</v>
      </c>
      <c r="N76" s="12" t="str">
        <f aca="false">IF(A76="","",IFERROR(INDEX(Events!$F$2:$F$67,MATCH(A76,Events!$A$2:$A$67,0)),""))</f>
        <v>GER</v>
      </c>
      <c r="O76" s="12" t="n">
        <f aca="false">IF(AND(G76=1,K76="Yes",N76="POL"),IF(COUNTIFS($A$2:A76,A76,$D$2:D76,D76,$E$2:E76,E76,$G$2:G76,1)=1,1,0),0)</f>
        <v>0</v>
      </c>
      <c r="P76" s="12" t="n">
        <f aca="false">IF(AND(ISNUMBER(G76),K76="Yes",N76="POL"),IF(AND(G76&gt;=1,G76&lt;=3,COUNTIFS($A$2:A76,A76,$D$2:D76,D76,$E$2:E76,E76,$G$2:G76,G76)=1),1,0),0)</f>
        <v>0</v>
      </c>
    </row>
    <row r="77" customFormat="false" ht="15" hidden="false" customHeight="false" outlineLevel="0" collapsed="false">
      <c r="A77" s="12" t="s">
        <v>255</v>
      </c>
      <c r="B77" s="13" t="n">
        <v>46227</v>
      </c>
      <c r="C77" s="12" t="str">
        <f aca="false">IF(A77="","",IFERROR(INDEX(Events!$D$2:$D$67,MATCH(A77,Events!$A$2:$A$67,0)),"Unknown event ID"))</f>
        <v>Tour de Pologne Women</v>
      </c>
      <c r="D77" s="12" t="s">
        <v>377</v>
      </c>
      <c r="E77" s="12" t="s">
        <v>59</v>
      </c>
      <c r="F77" s="12" t="s">
        <v>65</v>
      </c>
      <c r="G77" s="12" t="n">
        <v>64</v>
      </c>
      <c r="H77" s="12" t="s">
        <v>366</v>
      </c>
      <c r="I77" s="12"/>
      <c r="J77" s="12" t="s">
        <v>68</v>
      </c>
      <c r="K77" s="12" t="str">
        <f aca="false">IF(A77="","",IFERROR(IF(INDEX(Events!$J$2:$J$67,MATCH(A77,Events!$A$2:$A$67,0))="Yes",IF(ISNUMBER(SEARCH("Criterium final",D77)),"No","Yes"),"No"),""))</f>
        <v>No</v>
      </c>
      <c r="L77" s="12"/>
      <c r="M77" s="12" t="n">
        <f aca="false">IF(OR(A77="",F77=""),0,IF(COUNTIFS($A$2:A77,A77,$F$2:F77,F77)=1,1,0))</f>
        <v>1</v>
      </c>
      <c r="N77" s="12" t="str">
        <f aca="false">IF(A77="","",IFERROR(INDEX(Events!$F$2:$F$67,MATCH(A77,Events!$A$2:$A$67,0)),""))</f>
        <v>POL</v>
      </c>
      <c r="O77" s="12" t="n">
        <f aca="false">IF(AND(G77=1,K77="Yes",N77="POL"),IF(COUNTIFS($A$2:A77,A77,$D$2:D77,D77,$E$2:E77,E77,$G$2:G77,1)=1,1,0),0)</f>
        <v>0</v>
      </c>
      <c r="P77" s="12" t="n">
        <f aca="false">IF(AND(ISNUMBER(G77),K77="Yes",N77="POL"),IF(AND(G77&gt;=1,G77&lt;=3,COUNTIFS($A$2:A77,A77,$D$2:D77,D77,$E$2:E77,E77,$G$2:G77,G77)=1),1,0),0)</f>
        <v>0</v>
      </c>
    </row>
    <row r="78" customFormat="false" ht="15" hidden="false" customHeight="false" outlineLevel="0" collapsed="false">
      <c r="A78" s="12" t="s">
        <v>255</v>
      </c>
      <c r="B78" s="13" t="n">
        <v>46228</v>
      </c>
      <c r="C78" s="12" t="str">
        <f aca="false">IF(A78="","",IFERROR(INDEX(Events!$D$2:$D$67,MATCH(A78,Events!$A$2:$A$67,0)),"Unknown event ID"))</f>
        <v>Tour de Pologne Women</v>
      </c>
      <c r="D78" s="12" t="s">
        <v>373</v>
      </c>
      <c r="E78" s="12" t="s">
        <v>59</v>
      </c>
      <c r="F78" s="12" t="s">
        <v>65</v>
      </c>
      <c r="G78" s="12" t="n">
        <v>69</v>
      </c>
      <c r="H78" s="12" t="s">
        <v>366</v>
      </c>
      <c r="I78" s="12"/>
      <c r="J78" s="12" t="s">
        <v>68</v>
      </c>
      <c r="K78" s="12" t="str">
        <f aca="false">IF(A78="","",IFERROR(IF(INDEX(Events!$J$2:$J$67,MATCH(A78,Events!$A$2:$A$67,0))="Yes",IF(ISNUMBER(SEARCH("Criterium final",D78)),"No","Yes"),"No"),""))</f>
        <v>No</v>
      </c>
      <c r="L78" s="12"/>
      <c r="M78" s="12" t="n">
        <f aca="false">IF(OR(A78="",F78=""),0,IF(COUNTIFS($A$2:A78,A78,$F$2:F78,F78)=1,1,0))</f>
        <v>0</v>
      </c>
      <c r="N78" s="12" t="str">
        <f aca="false">IF(A78="","",IFERROR(INDEX(Events!$F$2:$F$67,MATCH(A78,Events!$A$2:$A$67,0)),""))</f>
        <v>POL</v>
      </c>
      <c r="O78" s="12" t="n">
        <f aca="false">IF(AND(G78=1,K78="Yes",N78="POL"),IF(COUNTIFS($A$2:A78,A78,$D$2:D78,D78,$E$2:E78,E78,$G$2:G78,1)=1,1,0),0)</f>
        <v>0</v>
      </c>
      <c r="P78" s="12" t="n">
        <f aca="false">IF(AND(ISNUMBER(G78),K78="Yes",N78="POL"),IF(AND(G78&gt;=1,G78&lt;=3,COUNTIFS($A$2:A78,A78,$D$2:D78,D78,$E$2:E78,E78,$G$2:G78,G78)=1),1,0),0)</f>
        <v>0</v>
      </c>
    </row>
    <row r="79" customFormat="false" ht="15" hidden="false" customHeight="false" outlineLevel="0" collapsed="false">
      <c r="A79" s="12" t="s">
        <v>255</v>
      </c>
      <c r="B79" s="13" t="n">
        <v>46229</v>
      </c>
      <c r="C79" s="12" t="str">
        <f aca="false">IF(A79="","",IFERROR(INDEX(Events!$D$2:$D$67,MATCH(A79,Events!$A$2:$A$67,0)),"Unknown event ID"))</f>
        <v>Tour de Pologne Women</v>
      </c>
      <c r="D79" s="12" t="s">
        <v>374</v>
      </c>
      <c r="E79" s="12" t="s">
        <v>59</v>
      </c>
      <c r="F79" s="12" t="s">
        <v>65</v>
      </c>
      <c r="G79" s="12" t="n">
        <v>45</v>
      </c>
      <c r="H79" s="12" t="s">
        <v>366</v>
      </c>
      <c r="I79" s="12"/>
      <c r="J79" s="12" t="s">
        <v>68</v>
      </c>
      <c r="K79" s="12" t="str">
        <f aca="false">IF(A79="","",IFERROR(IF(INDEX(Events!$J$2:$J$67,MATCH(A79,Events!$A$2:$A$67,0))="Yes",IF(ISNUMBER(SEARCH("Criterium final",D79)),"No","Yes"),"No"),""))</f>
        <v>No</v>
      </c>
      <c r="L79" s="12"/>
      <c r="M79" s="12" t="n">
        <f aca="false">IF(OR(A79="",F79=""),0,IF(COUNTIFS($A$2:A79,A79,$F$2:F79,F79)=1,1,0))</f>
        <v>0</v>
      </c>
      <c r="N79" s="12" t="str">
        <f aca="false">IF(A79="","",IFERROR(INDEX(Events!$F$2:$F$67,MATCH(A79,Events!$A$2:$A$67,0)),""))</f>
        <v>POL</v>
      </c>
      <c r="O79" s="12" t="n">
        <f aca="false">IF(AND(G79=1,K79="Yes",N79="POL"),IF(COUNTIFS($A$2:A79,A79,$D$2:D79,D79,$E$2:E79,E79,$G$2:G79,1)=1,1,0),0)</f>
        <v>0</v>
      </c>
      <c r="P79" s="12" t="n">
        <f aca="false">IF(AND(ISNUMBER(G79),K79="Yes",N79="POL"),IF(AND(G79&gt;=1,G79&lt;=3,COUNTIFS($A$2:A79,A79,$D$2:D79,D79,$E$2:E79,E79,$G$2:G79,G79)=1),1,0),0)</f>
        <v>0</v>
      </c>
    </row>
    <row r="80" customFormat="false" ht="15" hidden="false" customHeight="false" outlineLevel="0" collapsed="false">
      <c r="A80" s="12" t="s">
        <v>255</v>
      </c>
      <c r="B80" s="13" t="n">
        <v>46229</v>
      </c>
      <c r="C80" s="12" t="str">
        <f aca="false">IF(A80="","",IFERROR(INDEX(Events!$D$2:$D$67,MATCH(A80,Events!$A$2:$A$67,0)),"Unknown event ID"))</f>
        <v>Tour de Pologne Women</v>
      </c>
      <c r="D80" s="12" t="s">
        <v>376</v>
      </c>
      <c r="E80" s="12" t="s">
        <v>59</v>
      </c>
      <c r="F80" s="12" t="s">
        <v>65</v>
      </c>
      <c r="G80" s="12" t="n">
        <v>73</v>
      </c>
      <c r="H80" s="12" t="s">
        <v>366</v>
      </c>
      <c r="I80" s="12"/>
      <c r="J80" s="12" t="s">
        <v>68</v>
      </c>
      <c r="K80" s="12" t="str">
        <f aca="false">IF(A80="","",IFERROR(IF(INDEX(Events!$J$2:$J$67,MATCH(A80,Events!$A$2:$A$67,0))="Yes",IF(ISNUMBER(SEARCH("Criterium final",D80)),"No","Yes"),"No"),""))</f>
        <v>No</v>
      </c>
      <c r="L80" s="12"/>
      <c r="M80" s="12" t="n">
        <f aca="false">IF(OR(A80="",F80=""),0,IF(COUNTIFS($A$2:A80,A80,$F$2:F80,F80)=1,1,0))</f>
        <v>0</v>
      </c>
      <c r="N80" s="12" t="str">
        <f aca="false">IF(A80="","",IFERROR(INDEX(Events!$F$2:$F$67,MATCH(A80,Events!$A$2:$A$67,0)),""))</f>
        <v>POL</v>
      </c>
      <c r="O80" s="12" t="n">
        <f aca="false">IF(AND(G80=1,K80="Yes",N80="POL"),IF(COUNTIFS($A$2:A80,A80,$D$2:D80,D80,$E$2:E80,E80,$G$2:G80,1)=1,1,0),0)</f>
        <v>0</v>
      </c>
      <c r="P80" s="12" t="n">
        <f aca="false">IF(AND(ISNUMBER(G80),K80="Yes",N80="POL"),IF(AND(G80&gt;=1,G80&lt;=3,COUNTIFS($A$2:A80,A80,$D$2:D80,D80,$E$2:E80,E80,$G$2:G80,G80)=1),1,0),0)</f>
        <v>0</v>
      </c>
    </row>
    <row r="81" customFormat="false" ht="15" hidden="false" customHeight="false" outlineLevel="0" collapsed="false">
      <c r="A81" s="12" t="s">
        <v>270</v>
      </c>
      <c r="B81" s="13" t="n">
        <v>46235</v>
      </c>
      <c r="C81" s="12" t="str">
        <f aca="false">IF(A81="","",IFERROR(INDEX(Events!$D$2:$D$67,MATCH(A81,Events!$A$2:$A$67,0)),"Unknown event ID"))</f>
        <v>Polish Elite Track Championships</v>
      </c>
      <c r="D81" s="12" t="s">
        <v>369</v>
      </c>
      <c r="E81" s="12" t="s">
        <v>59</v>
      </c>
      <c r="F81" s="12" t="s">
        <v>65</v>
      </c>
      <c r="G81" s="12" t="n">
        <v>1</v>
      </c>
      <c r="H81" s="12" t="s">
        <v>366</v>
      </c>
      <c r="I81" s="12" t="s">
        <v>403</v>
      </c>
      <c r="J81" s="12" t="s">
        <v>379</v>
      </c>
      <c r="K81" s="12" t="str">
        <f aca="false">IF(A81="","",IFERROR(IF(INDEX(Events!$J$2:$J$67,MATCH(A81,Events!$A$2:$A$67,0))="Yes",IF(ISNUMBER(SEARCH("Criterium final",D81)),"No","Yes"),"No"),""))</f>
        <v>Yes</v>
      </c>
      <c r="L81" s="12"/>
      <c r="M81" s="12" t="n">
        <f aca="false">IF(OR(A81="",F81=""),0,IF(COUNTIFS($A$2:A81,A81,$F$2:F81,F81)=1,1,0))</f>
        <v>1</v>
      </c>
      <c r="N81" s="12" t="str">
        <f aca="false">IF(A81="","",IFERROR(INDEX(Events!$F$2:$F$67,MATCH(A81,Events!$A$2:$A$67,0)),""))</f>
        <v>POL</v>
      </c>
      <c r="O81" s="12" t="n">
        <f aca="false">IF(AND(G81=1,K81="Yes",N81="POL"),IF(COUNTIFS($A$2:A81,A81,$D$2:D81,D81,$E$2:E81,E81,$G$2:G81,1)=1,1,0),0)</f>
        <v>0</v>
      </c>
      <c r="P81" s="12" t="n">
        <f aca="false">IF(AND(ISNUMBER(G81),K81="Yes",N81="POL"),IF(AND(G81&gt;=1,G81&lt;=3,COUNTIFS($A$2:A81,A81,$D$2:D81,D81,$E$2:E81,E81,$G$2:G81,G81)=1),1,0),0)</f>
        <v>0</v>
      </c>
    </row>
    <row r="82" customFormat="false" ht="15" hidden="false" customHeight="false" outlineLevel="0" collapsed="false">
      <c r="A82" s="12" t="s">
        <v>270</v>
      </c>
      <c r="B82" s="13" t="n">
        <v>46235</v>
      </c>
      <c r="C82" s="12" t="str">
        <f aca="false">IF(A82="","",IFERROR(INDEX(Events!$D$2:$D$67,MATCH(A82,Events!$A$2:$A$67,0)),"Unknown event ID"))</f>
        <v>Polish Elite Track Championships</v>
      </c>
      <c r="D82" s="12" t="s">
        <v>404</v>
      </c>
      <c r="E82" s="12" t="s">
        <v>59</v>
      </c>
      <c r="F82" s="12" t="s">
        <v>65</v>
      </c>
      <c r="G82" s="12" t="n">
        <v>1</v>
      </c>
      <c r="H82" s="12" t="s">
        <v>366</v>
      </c>
      <c r="I82" s="12"/>
      <c r="J82" s="12" t="s">
        <v>379</v>
      </c>
      <c r="K82" s="12" t="str">
        <f aca="false">IF(A82="","",IFERROR(IF(INDEX(Events!$J$2:$J$67,MATCH(A82,Events!$A$2:$A$67,0))="Yes",IF(ISNUMBER(SEARCH("Criterium final",D82)),"No","Yes"),"No"),""))</f>
        <v>Yes</v>
      </c>
      <c r="L82" s="12"/>
      <c r="M82" s="12" t="n">
        <f aca="false">IF(OR(A82="",F82=""),0,IF(COUNTIFS($A$2:A82,A82,$F$2:F82,F82)=1,1,0))</f>
        <v>0</v>
      </c>
      <c r="N82" s="12" t="str">
        <f aca="false">IF(A82="","",IFERROR(INDEX(Events!$F$2:$F$67,MATCH(A82,Events!$A$2:$A$67,0)),""))</f>
        <v>POL</v>
      </c>
      <c r="O82" s="12" t="n">
        <f aca="false">IF(AND(G82=1,K82="Yes",N82="POL"),IF(COUNTIFS($A$2:A82,A82,$D$2:D82,D82,$E$2:E82,E82,$G$2:G82,1)=1,1,0),0)</f>
        <v>1</v>
      </c>
      <c r="P82" s="12" t="n">
        <f aca="false">IF(AND(ISNUMBER(G82),K82="Yes",N82="POL"),IF(AND(G82&gt;=1,G82&lt;=3,COUNTIFS($A$2:A82,A82,$D$2:D82,D82,$E$2:E82,E82,$G$2:G82,G82)=1),1,0),0)</f>
        <v>1</v>
      </c>
    </row>
    <row r="83" customFormat="false" ht="15" hidden="false" customHeight="false" outlineLevel="0" collapsed="false">
      <c r="A83" s="12" t="s">
        <v>270</v>
      </c>
      <c r="B83" s="13" t="n">
        <v>46236</v>
      </c>
      <c r="C83" s="12" t="str">
        <f aca="false">IF(A83="","",IFERROR(INDEX(Events!$D$2:$D$67,MATCH(A83,Events!$A$2:$A$67,0)),"Unknown event ID"))</f>
        <v>Polish Elite Track Championships</v>
      </c>
      <c r="D83" s="12" t="s">
        <v>371</v>
      </c>
      <c r="E83" s="12" t="s">
        <v>59</v>
      </c>
      <c r="F83" s="12" t="s">
        <v>65</v>
      </c>
      <c r="G83" s="12" t="n">
        <v>3</v>
      </c>
      <c r="H83" s="12" t="s">
        <v>366</v>
      </c>
      <c r="I83" s="12"/>
      <c r="J83" s="12" t="s">
        <v>381</v>
      </c>
      <c r="K83" s="12" t="str">
        <f aca="false">IF(A83="","",IFERROR(IF(INDEX(Events!$J$2:$J$67,MATCH(A83,Events!$A$2:$A$67,0))="Yes",IF(ISNUMBER(SEARCH("Criterium final",D83)),"No","Yes"),"No"),""))</f>
        <v>Yes</v>
      </c>
      <c r="L83" s="12"/>
      <c r="M83" s="12" t="n">
        <f aca="false">IF(OR(A83="",F83=""),0,IF(COUNTIFS($A$2:A83,A83,$F$2:F83,F83)=1,1,0))</f>
        <v>0</v>
      </c>
      <c r="N83" s="12" t="str">
        <f aca="false">IF(A83="","",IFERROR(INDEX(Events!$F$2:$F$67,MATCH(A83,Events!$A$2:$A$67,0)),""))</f>
        <v>POL</v>
      </c>
      <c r="O83" s="12" t="n">
        <f aca="false">IF(AND(G83=1,K83="Yes",N83="POL"),IF(COUNTIFS($A$2:A83,A83,$D$2:D83,D83,$E$2:E83,E83,$G$2:G83,1)=1,1,0),0)</f>
        <v>0</v>
      </c>
      <c r="P83" s="12" t="n">
        <f aca="false">IF(AND(ISNUMBER(G83),K83="Yes",N83="POL"),IF(AND(G83&gt;=1,G83&lt;=3,COUNTIFS($A$2:A83,A83,$D$2:D83,D83,$E$2:E83,E83,$G$2:G83,G83)=1),1,0),0)</f>
        <v>1</v>
      </c>
    </row>
    <row r="84" customFormat="false" ht="15" hidden="false" customHeight="false" outlineLevel="0" collapsed="false">
      <c r="A84" s="12" t="s">
        <v>339</v>
      </c>
      <c r="B84" s="13" t="n">
        <v>46254</v>
      </c>
      <c r="C84" s="12" t="str">
        <f aca="false">IF(A84="","",IFERROR(INDEX(Events!$D$2:$D$67,MATCH(A84,Events!$A$2:$A$67,0)),"Unknown event ID"))</f>
        <v>GP Lucien Van Impe</v>
      </c>
      <c r="D84" s="12" t="s">
        <v>365</v>
      </c>
      <c r="E84" s="12" t="s">
        <v>59</v>
      </c>
      <c r="F84" s="12" t="s">
        <v>65</v>
      </c>
      <c r="G84" s="12"/>
      <c r="H84" s="12" t="s">
        <v>33</v>
      </c>
      <c r="I84" s="12"/>
      <c r="J84" s="12" t="s">
        <v>68</v>
      </c>
      <c r="K84" s="12" t="str">
        <f aca="false">IF(A84="","",IFERROR(IF(INDEX(Events!$J$2:$J$67,MATCH(A84,Events!$A$2:$A$67,0))="Yes",IF(ISNUMBER(SEARCH("Criterium final",D84)),"No","Yes"),"No"),""))</f>
        <v>No</v>
      </c>
      <c r="L84" s="12"/>
      <c r="M84" s="12" t="n">
        <f aca="false">IF(OR(A84="",F84=""),0,IF(COUNTIFS($A$2:A84,A84,$F$2:F84,F84)=1,1,0))</f>
        <v>1</v>
      </c>
      <c r="N84" s="12" t="str">
        <f aca="false">IF(A84="","",IFERROR(INDEX(Events!$F$2:$F$67,MATCH(A84,Events!$A$2:$A$67,0)),""))</f>
        <v>BEL</v>
      </c>
      <c r="O84" s="12" t="n">
        <f aca="false">IF(AND(G84=1,K84="Yes",N84="POL"),IF(COUNTIFS($A$2:A84,A84,$D$2:D84,D84,$E$2:E84,E84,$G$2:G84,1)=1,1,0),0)</f>
        <v>0</v>
      </c>
      <c r="P84" s="12" t="n">
        <f aca="false">IF(AND(ISNUMBER(G84),K84="Yes",N84="POL"),IF(AND(G84&gt;=1,G84&lt;=3,COUNTIFS($A$2:A84,A84,$D$2:D84,D84,$E$2:E84,E84,$G$2:G84,G84)=1),1,0),0)</f>
        <v>0</v>
      </c>
    </row>
    <row r="85" customFormat="false" ht="15" hidden="false" customHeight="false" outlineLevel="0" collapsed="false">
      <c r="A85" s="12" t="s">
        <v>341</v>
      </c>
      <c r="B85" s="13" t="n">
        <v>46255</v>
      </c>
      <c r="C85" s="12" t="str">
        <f aca="false">IF(A85="","",IFERROR(INDEX(Events!$D$2:$D$67,MATCH(A85,Events!$A$2:$A$67,0)),"Unknown event ID"))</f>
        <v>Konvert Kortrijk Koerse</v>
      </c>
      <c r="D85" s="12" t="s">
        <v>365</v>
      </c>
      <c r="E85" s="12" t="s">
        <v>59</v>
      </c>
      <c r="F85" s="12" t="s">
        <v>65</v>
      </c>
      <c r="G85" s="12" t="n">
        <v>35</v>
      </c>
      <c r="H85" s="12" t="s">
        <v>366</v>
      </c>
      <c r="I85" s="12"/>
      <c r="J85" s="12" t="s">
        <v>68</v>
      </c>
      <c r="K85" s="12" t="str">
        <f aca="false">IF(A85="","",IFERROR(IF(INDEX(Events!$J$2:$J$67,MATCH(A85,Events!$A$2:$A$67,0))="Yes",IF(ISNUMBER(SEARCH("Criterium final",D85)),"No","Yes"),"No"),""))</f>
        <v>No</v>
      </c>
      <c r="L85" s="12"/>
      <c r="M85" s="12" t="n">
        <f aca="false">IF(OR(A85="",F85=""),0,IF(COUNTIFS($A$2:A85,A85,$F$2:F85,F85)=1,1,0))</f>
        <v>1</v>
      </c>
      <c r="N85" s="12" t="str">
        <f aca="false">IF(A85="","",IFERROR(INDEX(Events!$F$2:$F$67,MATCH(A85,Events!$A$2:$A$67,0)),""))</f>
        <v>BEL</v>
      </c>
      <c r="O85" s="12" t="n">
        <f aca="false">IF(AND(G85=1,K85="Yes",N85="POL"),IF(COUNTIFS($A$2:A85,A85,$D$2:D85,D85,$E$2:E85,E85,$G$2:G85,1)=1,1,0),0)</f>
        <v>0</v>
      </c>
      <c r="P85" s="12" t="n">
        <f aca="false">IF(AND(ISNUMBER(G85),K85="Yes",N85="POL"),IF(AND(G85&gt;=1,G85&lt;=3,COUNTIFS($A$2:A85,A85,$D$2:D85,D85,$E$2:E85,E85,$G$2:G85,G85)=1),1,0),0)</f>
        <v>0</v>
      </c>
    </row>
    <row r="86" customFormat="false" ht="15" hidden="false" customHeight="false" outlineLevel="0" collapsed="false">
      <c r="A86" s="12" t="s">
        <v>289</v>
      </c>
      <c r="B86" s="13" t="n">
        <v>46277</v>
      </c>
      <c r="C86" s="12" t="str">
        <f aca="false">IF(A86="","",IFERROR(INDEX(Events!$D$2:$D$67,MATCH(A86,Events!$A$2:$A$67,0)),"Unknown event ID"))</f>
        <v>Polish Pairs &amp; Team Time Trial Championships</v>
      </c>
      <c r="D86" s="12" t="s">
        <v>405</v>
      </c>
      <c r="E86" s="12" t="s">
        <v>59</v>
      </c>
      <c r="F86" s="12" t="s">
        <v>65</v>
      </c>
      <c r="G86" s="12" t="n">
        <v>1</v>
      </c>
      <c r="H86" s="12" t="s">
        <v>366</v>
      </c>
      <c r="I86" s="12" t="s">
        <v>382</v>
      </c>
      <c r="J86" s="12" t="s">
        <v>406</v>
      </c>
      <c r="K86" s="12" t="str">
        <f aca="false">IF(A86="","",IFERROR(IF(INDEX(Events!$J$2:$J$67,MATCH(A86,Events!$A$2:$A$67,0))="Yes",IF(ISNUMBER(SEARCH("Criterium final",D86)),"No","Yes"),"No"),""))</f>
        <v>Yes</v>
      </c>
      <c r="L86" s="12"/>
      <c r="M86" s="12" t="n">
        <f aca="false">IF(OR(A86="",F86=""),0,IF(COUNTIFS($A$2:A86,A86,$F$2:F86,F86)=1,1,0))</f>
        <v>1</v>
      </c>
      <c r="N86" s="12" t="str">
        <f aca="false">IF(A86="","",IFERROR(INDEX(Events!$F$2:$F$67,MATCH(A86,Events!$A$2:$A$67,0)),""))</f>
        <v>POL</v>
      </c>
      <c r="O86" s="12" t="n">
        <f aca="false">IF(AND(G86=1,K86="Yes",N86="POL"),IF(COUNTIFS($A$2:A86,A86,$D$2:D86,D86,$E$2:E86,E86,$G$2:G86,1)=1,1,0),0)</f>
        <v>1</v>
      </c>
      <c r="P86" s="12" t="n">
        <f aca="false">IF(AND(ISNUMBER(G86),K86="Yes",N86="POL"),IF(AND(G86&gt;=1,G86&lt;=3,COUNTIFS($A$2:A86,A86,$D$2:D86,D86,$E$2:E86,E86,$G$2:G86,G86)=1),1,0),0)</f>
        <v>1</v>
      </c>
    </row>
    <row r="87" customFormat="false" ht="15" hidden="false" customHeight="false" outlineLevel="0" collapsed="false">
      <c r="A87" s="12" t="s">
        <v>289</v>
      </c>
      <c r="B87" s="13" t="n">
        <v>46277</v>
      </c>
      <c r="C87" s="12" t="str">
        <f aca="false">IF(A87="","",IFERROR(INDEX(Events!$D$2:$D$67,MATCH(A87,Events!$A$2:$A$67,0)),"Unknown event ID"))</f>
        <v>Polish Pairs &amp; Team Time Trial Championships</v>
      </c>
      <c r="D87" s="12" t="s">
        <v>405</v>
      </c>
      <c r="E87" s="12" t="s">
        <v>66</v>
      </c>
      <c r="F87" s="12" t="s">
        <v>65</v>
      </c>
      <c r="G87" s="12" t="n">
        <v>1</v>
      </c>
      <c r="H87" s="12" t="s">
        <v>366</v>
      </c>
      <c r="I87" s="12" t="s">
        <v>382</v>
      </c>
      <c r="J87" s="12" t="s">
        <v>406</v>
      </c>
      <c r="K87" s="12" t="str">
        <f aca="false">IF(A87="","",IFERROR(IF(INDEX(Events!$J$2:$J$67,MATCH(A87,Events!$A$2:$A$67,0))="Yes",IF(ISNUMBER(SEARCH("Criterium final",D87)),"No","Yes"),"No"),""))</f>
        <v>Yes</v>
      </c>
      <c r="L87" s="12"/>
      <c r="M87" s="12" t="n">
        <f aca="false">IF(OR(A87="",F87=""),0,IF(COUNTIFS($A$2:A87,A87,$F$2:F87,F87)=1,1,0))</f>
        <v>0</v>
      </c>
      <c r="N87" s="12" t="str">
        <f aca="false">IF(A87="","",IFERROR(INDEX(Events!$F$2:$F$67,MATCH(A87,Events!$A$2:$A$67,0)),""))</f>
        <v>POL</v>
      </c>
      <c r="O87" s="12" t="n">
        <f aca="false">IF(AND(G87=1,K87="Yes",N87="POL"),IF(COUNTIFS($A$2:A87,A87,$D$2:D87,D87,$E$2:E87,E87,$G$2:G87,1)=1,1,0),0)</f>
        <v>1</v>
      </c>
      <c r="P87" s="12" t="n">
        <f aca="false">IF(AND(ISNUMBER(G87),K87="Yes",N87="POL"),IF(AND(G87&gt;=1,G87&lt;=3,COUNTIFS($A$2:A87,A87,$D$2:D87,D87,$E$2:E87,E87,$G$2:G87,G87)=1),1,0),0)</f>
        <v>1</v>
      </c>
    </row>
    <row r="88" customFormat="false" ht="15" hidden="false" customHeight="false" outlineLevel="0" collapsed="false">
      <c r="A88" s="12" t="s">
        <v>289</v>
      </c>
      <c r="B88" s="13" t="n">
        <v>46278</v>
      </c>
      <c r="C88" s="12" t="str">
        <f aca="false">IF(A88="","",IFERROR(INDEX(Events!$D$2:$D$67,MATCH(A88,Events!$A$2:$A$67,0)),"Unknown event ID"))</f>
        <v>Polish Pairs &amp; Team Time Trial Championships</v>
      </c>
      <c r="D88" s="12" t="s">
        <v>407</v>
      </c>
      <c r="E88" s="12" t="s">
        <v>59</v>
      </c>
      <c r="F88" s="12" t="s">
        <v>65</v>
      </c>
      <c r="G88" s="12" t="n">
        <v>1</v>
      </c>
      <c r="H88" s="12" t="s">
        <v>366</v>
      </c>
      <c r="I88" s="12" t="s">
        <v>408</v>
      </c>
      <c r="J88" s="12" t="s">
        <v>409</v>
      </c>
      <c r="K88" s="12" t="str">
        <f aca="false">IF(A88="","",IFERROR(IF(INDEX(Events!$J$2:$J$67,MATCH(A88,Events!$A$2:$A$67,0))="Yes",IF(ISNUMBER(SEARCH("Criterium final",D88)),"No","Yes"),"No"),""))</f>
        <v>Yes</v>
      </c>
      <c r="L88" s="12"/>
      <c r="M88" s="12" t="n">
        <f aca="false">IF(OR(A88="",F88=""),0,IF(COUNTIFS($A$2:A88,A88,$F$2:F88,F88)=1,1,0))</f>
        <v>0</v>
      </c>
      <c r="N88" s="12" t="str">
        <f aca="false">IF(A88="","",IFERROR(INDEX(Events!$F$2:$F$67,MATCH(A88,Events!$A$2:$A$67,0)),""))</f>
        <v>POL</v>
      </c>
      <c r="O88" s="12" t="n">
        <f aca="false">IF(AND(G88=1,K88="Yes",N88="POL"),IF(COUNTIFS($A$2:A88,A88,$D$2:D88,D88,$E$2:E88,E88,$G$2:G88,1)=1,1,0),0)</f>
        <v>1</v>
      </c>
      <c r="P88" s="12" t="n">
        <f aca="false">IF(AND(ISNUMBER(G88),K88="Yes",N88="POL"),IF(AND(G88&gt;=1,G88&lt;=3,COUNTIFS($A$2:A88,A88,$D$2:D88,D88,$E$2:E88,E88,$G$2:G88,G88)=1),1,0),0)</f>
        <v>1</v>
      </c>
    </row>
    <row r="89" customFormat="false" ht="15" hidden="false" customHeight="false" outlineLevel="0" collapsed="false">
      <c r="A89" s="12" t="s">
        <v>289</v>
      </c>
      <c r="B89" s="13" t="n">
        <v>46278</v>
      </c>
      <c r="C89" s="12" t="str">
        <f aca="false">IF(A89="","",IFERROR(INDEX(Events!$D$2:$D$67,MATCH(A89,Events!$A$2:$A$67,0)),"Unknown event ID"))</f>
        <v>Polish Pairs &amp; Team Time Trial Championships</v>
      </c>
      <c r="D89" s="12" t="s">
        <v>407</v>
      </c>
      <c r="E89" s="12" t="s">
        <v>66</v>
      </c>
      <c r="F89" s="12" t="s">
        <v>65</v>
      </c>
      <c r="G89" s="12" t="n">
        <v>1</v>
      </c>
      <c r="H89" s="12" t="s">
        <v>366</v>
      </c>
      <c r="I89" s="12" t="s">
        <v>408</v>
      </c>
      <c r="J89" s="12" t="s">
        <v>409</v>
      </c>
      <c r="K89" s="12" t="str">
        <f aca="false">IF(A89="","",IFERROR(IF(INDEX(Events!$J$2:$J$67,MATCH(A89,Events!$A$2:$A$67,0))="Yes",IF(ISNUMBER(SEARCH("Criterium final",D89)),"No","Yes"),"No"),""))</f>
        <v>Yes</v>
      </c>
      <c r="L89" s="12"/>
      <c r="M89" s="12" t="n">
        <f aca="false">IF(OR(A89="",F89=""),0,IF(COUNTIFS($A$2:A89,A89,$F$2:F89,F89)=1,1,0))</f>
        <v>0</v>
      </c>
      <c r="N89" s="12" t="str">
        <f aca="false">IF(A89="","",IFERROR(INDEX(Events!$F$2:$F$67,MATCH(A89,Events!$A$2:$A$67,0)),""))</f>
        <v>POL</v>
      </c>
      <c r="O89" s="12" t="n">
        <f aca="false">IF(AND(G89=1,K89="Yes",N89="POL"),IF(COUNTIFS($A$2:A89,A89,$D$2:D89,D89,$E$2:E89,E89,$G$2:G89,1)=1,1,0),0)</f>
        <v>1</v>
      </c>
      <c r="P89" s="12" t="n">
        <f aca="false">IF(AND(ISNUMBER(G89),K89="Yes",N89="POL"),IF(AND(G89&gt;=1,G89&lt;=3,COUNTIFS($A$2:A89,A89,$D$2:D89,D89,$E$2:E89,E89,$G$2:G89,G89)=1),1,0),0)</f>
        <v>1</v>
      </c>
    </row>
    <row r="90" customFormat="false" ht="15" hidden="false" customHeight="false" outlineLevel="0" collapsed="false">
      <c r="A90" s="12" t="s">
        <v>150</v>
      </c>
      <c r="B90" s="13" t="n">
        <v>46055</v>
      </c>
      <c r="C90" s="12" t="str">
        <f aca="false">IF(A90="","",IFERROR(INDEX(Events!$D$2:$D$67,MATCH(A90,Events!$A$2:$A$67,0)),"Unknown event ID"))</f>
        <v>UEC Track Elite European Championships</v>
      </c>
      <c r="D90" s="12" t="s">
        <v>369</v>
      </c>
      <c r="E90" s="12" t="s">
        <v>59</v>
      </c>
      <c r="F90" s="12" t="s">
        <v>69</v>
      </c>
      <c r="G90" s="12" t="n">
        <v>9</v>
      </c>
      <c r="H90" s="12" t="s">
        <v>366</v>
      </c>
      <c r="I90" s="12"/>
      <c r="J90" s="12" t="s">
        <v>71</v>
      </c>
      <c r="K90" s="12" t="str">
        <f aca="false">IF(A90="","",IFERROR(IF(INDEX(Events!$J$2:$J$67,MATCH(A90,Events!$A$2:$A$67,0))="Yes",IF(ISNUMBER(SEARCH("Criterium final",D90)),"No","Yes"),"No"),""))</f>
        <v>No</v>
      </c>
      <c r="L90" s="12"/>
      <c r="M90" s="12" t="n">
        <f aca="false">IF(OR(A90="",F90=""),0,IF(COUNTIFS($A$2:A90,A90,$F$2:F90,F90)=1,1,0))</f>
        <v>1</v>
      </c>
      <c r="N90" s="12" t="str">
        <f aca="false">IF(A90="","",IFERROR(INDEX(Events!$F$2:$F$67,MATCH(A90,Events!$A$2:$A$67,0)),""))</f>
        <v>TUR</v>
      </c>
      <c r="O90" s="12" t="n">
        <f aca="false">IF(AND(G90=1,K90="Yes",N90="POL"),IF(COUNTIFS($A$2:A90,A90,$D$2:D90,D90,$E$2:E90,E90,$G$2:G90,1)=1,1,0),0)</f>
        <v>0</v>
      </c>
      <c r="P90" s="12" t="n">
        <f aca="false">IF(AND(ISNUMBER(G90),K90="Yes",N90="POL"),IF(AND(G90&gt;=1,G90&lt;=3,COUNTIFS($A$2:A90,A90,$D$2:D90,D90,$E$2:E90,E90,$G$2:G90,G90)=1),1,0),0)</f>
        <v>0</v>
      </c>
    </row>
    <row r="91" customFormat="false" ht="15" hidden="false" customHeight="false" outlineLevel="0" collapsed="false">
      <c r="A91" s="12" t="s">
        <v>150</v>
      </c>
      <c r="B91" s="13" t="n">
        <v>46057</v>
      </c>
      <c r="C91" s="12" t="str">
        <f aca="false">IF(A91="","",IFERROR(INDEX(Events!$D$2:$D$67,MATCH(A91,Events!$A$2:$A$67,0)),"Unknown event ID"))</f>
        <v>UEC Track Elite European Championships</v>
      </c>
      <c r="D91" s="12" t="s">
        <v>384</v>
      </c>
      <c r="E91" s="12" t="s">
        <v>59</v>
      </c>
      <c r="F91" s="12" t="s">
        <v>69</v>
      </c>
      <c r="G91" s="12" t="n">
        <v>12</v>
      </c>
      <c r="H91" s="12" t="s">
        <v>366</v>
      </c>
      <c r="I91" s="12"/>
      <c r="J91" s="12" t="s">
        <v>71</v>
      </c>
      <c r="K91" s="12" t="str">
        <f aca="false">IF(A91="","",IFERROR(IF(INDEX(Events!$J$2:$J$67,MATCH(A91,Events!$A$2:$A$67,0))="Yes",IF(ISNUMBER(SEARCH("Criterium final",D91)),"No","Yes"),"No"),""))</f>
        <v>No</v>
      </c>
      <c r="L91" s="12"/>
      <c r="M91" s="12" t="n">
        <f aca="false">IF(OR(A91="",F91=""),0,IF(COUNTIFS($A$2:A91,A91,$F$2:F91,F91)=1,1,0))</f>
        <v>0</v>
      </c>
      <c r="N91" s="12" t="str">
        <f aca="false">IF(A91="","",IFERROR(INDEX(Events!$F$2:$F$67,MATCH(A91,Events!$A$2:$A$67,0)),""))</f>
        <v>TUR</v>
      </c>
      <c r="O91" s="12" t="n">
        <f aca="false">IF(AND(G91=1,K91="Yes",N91="POL"),IF(COUNTIFS($A$2:A91,A91,$D$2:D91,D91,$E$2:E91,E91,$G$2:G91,1)=1,1,0),0)</f>
        <v>0</v>
      </c>
      <c r="P91" s="12" t="n">
        <f aca="false">IF(AND(ISNUMBER(G91),K91="Yes",N91="POL"),IF(AND(G91&gt;=1,G91&lt;=3,COUNTIFS($A$2:A91,A91,$D$2:D91,D91,$E$2:E91,E91,$G$2:G91,G91)=1),1,0),0)</f>
        <v>0</v>
      </c>
    </row>
    <row r="92" customFormat="false" ht="15" hidden="false" customHeight="false" outlineLevel="0" collapsed="false">
      <c r="A92" s="12" t="s">
        <v>166</v>
      </c>
      <c r="B92" s="13" t="n">
        <v>46085</v>
      </c>
      <c r="C92" s="12" t="str">
        <f aca="false">IF(A92="","",IFERROR(INDEX(Events!$D$2:$D$67,MATCH(A92,Events!$A$2:$A$67,0)),"Unknown event ID"))</f>
        <v>UMAG Classic Ladies</v>
      </c>
      <c r="D92" s="12" t="s">
        <v>365</v>
      </c>
      <c r="E92" s="12" t="s">
        <v>59</v>
      </c>
      <c r="F92" s="12" t="s">
        <v>69</v>
      </c>
      <c r="G92" s="12" t="n">
        <v>41</v>
      </c>
      <c r="H92" s="12" t="s">
        <v>366</v>
      </c>
      <c r="I92" s="12"/>
      <c r="J92" s="12" t="s">
        <v>71</v>
      </c>
      <c r="K92" s="12" t="str">
        <f aca="false">IF(A92="","",IFERROR(IF(INDEX(Events!$J$2:$J$67,MATCH(A92,Events!$A$2:$A$67,0))="Yes",IF(ISNUMBER(SEARCH("Criterium final",D92)),"No","Yes"),"No"),""))</f>
        <v>No</v>
      </c>
      <c r="L92" s="12"/>
      <c r="M92" s="12" t="n">
        <f aca="false">IF(OR(A92="",F92=""),0,IF(COUNTIFS($A$2:A92,A92,$F$2:F92,F92)=1,1,0))</f>
        <v>1</v>
      </c>
      <c r="N92" s="12" t="str">
        <f aca="false">IF(A92="","",IFERROR(INDEX(Events!$F$2:$F$67,MATCH(A92,Events!$A$2:$A$67,0)),""))</f>
        <v>CRO</v>
      </c>
      <c r="O92" s="12" t="n">
        <f aca="false">IF(AND(G92=1,K92="Yes",N92="POL"),IF(COUNTIFS($A$2:A92,A92,$D$2:D92,D92,$E$2:E92,E92,$G$2:G92,1)=1,1,0),0)</f>
        <v>0</v>
      </c>
      <c r="P92" s="12" t="n">
        <f aca="false">IF(AND(ISNUMBER(G92),K92="Yes",N92="POL"),IF(AND(G92&gt;=1,G92&lt;=3,COUNTIFS($A$2:A92,A92,$D$2:D92,D92,$E$2:E92,E92,$G$2:G92,G92)=1),1,0),0)</f>
        <v>0</v>
      </c>
    </row>
    <row r="93" customFormat="false" ht="15" hidden="false" customHeight="false" outlineLevel="0" collapsed="false">
      <c r="A93" s="12" t="s">
        <v>171</v>
      </c>
      <c r="B93" s="13" t="n">
        <v>46089</v>
      </c>
      <c r="C93" s="12" t="str">
        <f aca="false">IF(A93="","",IFERROR(INDEX(Events!$D$2:$D$67,MATCH(A93,Events!$A$2:$A$67,0)),"Unknown event ID"))</f>
        <v>POREČ Classic Ladies</v>
      </c>
      <c r="D93" s="12" t="s">
        <v>365</v>
      </c>
      <c r="E93" s="12" t="s">
        <v>59</v>
      </c>
      <c r="F93" s="12" t="s">
        <v>69</v>
      </c>
      <c r="G93" s="12" t="n">
        <v>33</v>
      </c>
      <c r="H93" s="12" t="s">
        <v>366</v>
      </c>
      <c r="I93" s="12"/>
      <c r="J93" s="12" t="s">
        <v>71</v>
      </c>
      <c r="K93" s="12" t="str">
        <f aca="false">IF(A93="","",IFERROR(IF(INDEX(Events!$J$2:$J$67,MATCH(A93,Events!$A$2:$A$67,0))="Yes",IF(ISNUMBER(SEARCH("Criterium final",D93)),"No","Yes"),"No"),""))</f>
        <v>No</v>
      </c>
      <c r="L93" s="12"/>
      <c r="M93" s="12" t="n">
        <f aca="false">IF(OR(A93="",F93=""),0,IF(COUNTIFS($A$2:A93,A93,$F$2:F93,F93)=1,1,0))</f>
        <v>1</v>
      </c>
      <c r="N93" s="12" t="str">
        <f aca="false">IF(A93="","",IFERROR(INDEX(Events!$F$2:$F$67,MATCH(A93,Events!$A$2:$A$67,0)),""))</f>
        <v>CRO</v>
      </c>
      <c r="O93" s="12" t="n">
        <f aca="false">IF(AND(G93=1,K93="Yes",N93="POL"),IF(COUNTIFS($A$2:A93,A93,$D$2:D93,D93,$E$2:E93,E93,$G$2:G93,1)=1,1,0),0)</f>
        <v>0</v>
      </c>
      <c r="P93" s="12" t="n">
        <f aca="false">IF(AND(ISNUMBER(G93),K93="Yes",N93="POL"),IF(AND(G93&gt;=1,G93&lt;=3,COUNTIFS($A$2:A93,A93,$D$2:D93,D93,$E$2:E93,E93,$G$2:G93,G93)=1),1,0),0)</f>
        <v>0</v>
      </c>
    </row>
    <row r="94" customFormat="false" ht="15" hidden="false" customHeight="false" outlineLevel="0" collapsed="false">
      <c r="A94" s="12" t="s">
        <v>185</v>
      </c>
      <c r="B94" s="13" t="n">
        <v>46118</v>
      </c>
      <c r="C94" s="12" t="str">
        <f aca="false">IF(A94="","",IFERROR(INDEX(Events!$D$2:$D$67,MATCH(A94,Events!$A$2:$A$67,0)),"Unknown event ID"))</f>
        <v>Ronde de Mouscron</v>
      </c>
      <c r="D94" s="12" t="s">
        <v>365</v>
      </c>
      <c r="E94" s="12" t="s">
        <v>59</v>
      </c>
      <c r="F94" s="12" t="s">
        <v>69</v>
      </c>
      <c r="G94" s="12" t="n">
        <v>34</v>
      </c>
      <c r="H94" s="12" t="s">
        <v>366</v>
      </c>
      <c r="I94" s="12"/>
      <c r="J94" s="12" t="s">
        <v>71</v>
      </c>
      <c r="K94" s="12" t="str">
        <f aca="false">IF(A94="","",IFERROR(IF(INDEX(Events!$J$2:$J$67,MATCH(A94,Events!$A$2:$A$67,0))="Yes",IF(ISNUMBER(SEARCH("Criterium final",D94)),"No","Yes"),"No"),""))</f>
        <v>No</v>
      </c>
      <c r="L94" s="12"/>
      <c r="M94" s="12" t="n">
        <f aca="false">IF(OR(A94="",F94=""),0,IF(COUNTIFS($A$2:A94,A94,$F$2:F94,F94)=1,1,0))</f>
        <v>1</v>
      </c>
      <c r="N94" s="12" t="str">
        <f aca="false">IF(A94="","",IFERROR(INDEX(Events!$F$2:$F$67,MATCH(A94,Events!$A$2:$A$67,0)),""))</f>
        <v>BEL</v>
      </c>
      <c r="O94" s="12" t="n">
        <f aca="false">IF(AND(G94=1,K94="Yes",N94="POL"),IF(COUNTIFS($A$2:A94,A94,$D$2:D94,D94,$E$2:E94,E94,$G$2:G94,1)=1,1,0),0)</f>
        <v>0</v>
      </c>
      <c r="P94" s="12" t="n">
        <f aca="false">IF(AND(ISNUMBER(G94),K94="Yes",N94="POL"),IF(AND(G94&gt;=1,G94&lt;=3,COUNTIFS($A$2:A94,A94,$D$2:D94,D94,$E$2:E94,E94,$G$2:G94,G94)=1),1,0),0)</f>
        <v>0</v>
      </c>
    </row>
    <row r="95" customFormat="false" ht="15" hidden="false" customHeight="false" outlineLevel="0" collapsed="false">
      <c r="A95" s="12" t="s">
        <v>188</v>
      </c>
      <c r="B95" s="13" t="n">
        <v>46120</v>
      </c>
      <c r="C95" s="12" t="str">
        <f aca="false">IF(A95="","",IFERROR(INDEX(Events!$D$2:$D$67,MATCH(A95,Events!$A$2:$A$67,0)),"Unknown event ID"))</f>
        <v>Scheldeprijs Vrouwen Elite</v>
      </c>
      <c r="D95" s="12" t="s">
        <v>365</v>
      </c>
      <c r="E95" s="12" t="s">
        <v>59</v>
      </c>
      <c r="F95" s="12" t="s">
        <v>69</v>
      </c>
      <c r="G95" s="12"/>
      <c r="H95" s="12" t="s">
        <v>33</v>
      </c>
      <c r="I95" s="12"/>
      <c r="J95" s="12" t="s">
        <v>71</v>
      </c>
      <c r="K95" s="12" t="str">
        <f aca="false">IF(A95="","",IFERROR(IF(INDEX(Events!$J$2:$J$67,MATCH(A95,Events!$A$2:$A$67,0))="Yes",IF(ISNUMBER(SEARCH("Criterium final",D95)),"No","Yes"),"No"),""))</f>
        <v>No</v>
      </c>
      <c r="L95" s="12"/>
      <c r="M95" s="12" t="n">
        <f aca="false">IF(OR(A95="",F95=""),0,IF(COUNTIFS($A$2:A95,A95,$F$2:F95,F95)=1,1,0))</f>
        <v>1</v>
      </c>
      <c r="N95" s="12" t="str">
        <f aca="false">IF(A95="","",IFERROR(INDEX(Events!$F$2:$F$67,MATCH(A95,Events!$A$2:$A$67,0)),""))</f>
        <v>BEL</v>
      </c>
      <c r="O95" s="12" t="n">
        <f aca="false">IF(AND(G95=1,K95="Yes",N95="POL"),IF(COUNTIFS($A$2:A95,A95,$D$2:D95,D95,$E$2:E95,E95,$G$2:G95,1)=1,1,0),0)</f>
        <v>0</v>
      </c>
      <c r="P95" s="12" t="n">
        <f aca="false">IF(AND(ISNUMBER(G95),K95="Yes",N95="POL"),IF(AND(G95&gt;=1,G95&lt;=3,COUNTIFS($A$2:A95,A95,$D$2:D95,D95,$E$2:E95,E95,$G$2:G95,G95)=1),1,0),0)</f>
        <v>0</v>
      </c>
    </row>
    <row r="96" customFormat="false" ht="15" hidden="false" customHeight="false" outlineLevel="0" collapsed="false">
      <c r="A96" s="12" t="s">
        <v>310</v>
      </c>
      <c r="B96" s="13" t="n">
        <v>46129</v>
      </c>
      <c r="C96" s="12" t="str">
        <f aca="false">IF(A96="","",IFERROR(INDEX(Events!$D$2:$D$67,MATCH(A96,Events!$A$2:$A$67,0)),"Unknown event ID"))</f>
        <v>UCI Track Nations Cup – Hong Kong</v>
      </c>
      <c r="D96" s="12" t="s">
        <v>369</v>
      </c>
      <c r="E96" s="12" t="s">
        <v>59</v>
      </c>
      <c r="F96" s="12" t="s">
        <v>69</v>
      </c>
      <c r="G96" s="12" t="n">
        <v>9</v>
      </c>
      <c r="H96" s="12" t="s">
        <v>366</v>
      </c>
      <c r="I96" s="12"/>
      <c r="J96" s="12" t="s">
        <v>71</v>
      </c>
      <c r="K96" s="12" t="str">
        <f aca="false">IF(A96="","",IFERROR(IF(INDEX(Events!$J$2:$J$67,MATCH(A96,Events!$A$2:$A$67,0))="Yes",IF(ISNUMBER(SEARCH("Criterium final",D96)),"No","Yes"),"No"),""))</f>
        <v>No</v>
      </c>
      <c r="L96" s="12"/>
      <c r="M96" s="12" t="n">
        <f aca="false">IF(OR(A96="",F96=""),0,IF(COUNTIFS($A$2:A96,A96,$F$2:F96,F96)=1,1,0))</f>
        <v>1</v>
      </c>
      <c r="N96" s="12" t="str">
        <f aca="false">IF(A96="","",IFERROR(INDEX(Events!$F$2:$F$67,MATCH(A96,Events!$A$2:$A$67,0)),""))</f>
        <v>HKG</v>
      </c>
      <c r="O96" s="12" t="n">
        <f aca="false">IF(AND(G96=1,K96="Yes",N96="POL"),IF(COUNTIFS($A$2:A96,A96,$D$2:D96,D96,$E$2:E96,E96,$G$2:G96,1)=1,1,0),0)</f>
        <v>0</v>
      </c>
      <c r="P96" s="12" t="n">
        <f aca="false">IF(AND(ISNUMBER(G96),K96="Yes",N96="POL"),IF(AND(G96&gt;=1,G96&lt;=3,COUNTIFS($A$2:A96,A96,$D$2:D96,D96,$E$2:E96,E96,$G$2:G96,G96)=1),1,0),0)</f>
        <v>0</v>
      </c>
    </row>
    <row r="97" customFormat="false" ht="15" hidden="false" customHeight="false" outlineLevel="0" collapsed="false">
      <c r="A97" s="12" t="s">
        <v>310</v>
      </c>
      <c r="B97" s="13" t="n">
        <v>46130</v>
      </c>
      <c r="C97" s="12" t="str">
        <f aca="false">IF(A97="","",IFERROR(INDEX(Events!$D$2:$D$67,MATCH(A97,Events!$A$2:$A$67,0)),"Unknown event ID"))</f>
        <v>UCI Track Nations Cup – Hong Kong</v>
      </c>
      <c r="D97" s="12" t="s">
        <v>370</v>
      </c>
      <c r="E97" s="12" t="s">
        <v>59</v>
      </c>
      <c r="F97" s="12" t="s">
        <v>69</v>
      </c>
      <c r="G97" s="12" t="n">
        <v>10</v>
      </c>
      <c r="H97" s="12" t="s">
        <v>366</v>
      </c>
      <c r="I97" s="12"/>
      <c r="J97" s="12" t="s">
        <v>71</v>
      </c>
      <c r="K97" s="12" t="str">
        <f aca="false">IF(A97="","",IFERROR(IF(INDEX(Events!$J$2:$J$67,MATCH(A97,Events!$A$2:$A$67,0))="Yes",IF(ISNUMBER(SEARCH("Criterium final",D97)),"No","Yes"),"No"),""))</f>
        <v>No</v>
      </c>
      <c r="L97" s="12"/>
      <c r="M97" s="12" t="n">
        <f aca="false">IF(OR(A97="",F97=""),0,IF(COUNTIFS($A$2:A97,A97,$F$2:F97,F97)=1,1,0))</f>
        <v>0</v>
      </c>
      <c r="N97" s="12" t="str">
        <f aca="false">IF(A97="","",IFERROR(INDEX(Events!$F$2:$F$67,MATCH(A97,Events!$A$2:$A$67,0)),""))</f>
        <v>HKG</v>
      </c>
      <c r="O97" s="12" t="n">
        <f aca="false">IF(AND(G97=1,K97="Yes",N97="POL"),IF(COUNTIFS($A$2:A97,A97,$D$2:D97,D97,$E$2:E97,E97,$G$2:G97,1)=1,1,0),0)</f>
        <v>0</v>
      </c>
      <c r="P97" s="12" t="n">
        <f aca="false">IF(AND(ISNUMBER(G97),K97="Yes",N97="POL"),IF(AND(G97&gt;=1,G97&lt;=3,COUNTIFS($A$2:A97,A97,$D$2:D97,D97,$E$2:E97,E97,$G$2:G97,G97)=1),1,0),0)</f>
        <v>0</v>
      </c>
    </row>
    <row r="98" customFormat="false" ht="15" hidden="false" customHeight="false" outlineLevel="0" collapsed="false">
      <c r="A98" s="12" t="s">
        <v>316</v>
      </c>
      <c r="B98" s="13" t="n">
        <v>46136</v>
      </c>
      <c r="C98" s="12" t="str">
        <f aca="false">IF(A98="","",IFERROR(INDEX(Events!$D$2:$D$67,MATCH(A98,Events!$A$2:$A$67,0)),"Unknown event ID"))</f>
        <v>UCI Track Nations Cup – Nilai</v>
      </c>
      <c r="D98" s="12" t="s">
        <v>369</v>
      </c>
      <c r="E98" s="12" t="s">
        <v>59</v>
      </c>
      <c r="F98" s="12" t="s">
        <v>69</v>
      </c>
      <c r="G98" s="12" t="n">
        <v>8</v>
      </c>
      <c r="H98" s="12" t="s">
        <v>366</v>
      </c>
      <c r="I98" s="12"/>
      <c r="J98" s="12" t="s">
        <v>71</v>
      </c>
      <c r="K98" s="12" t="str">
        <f aca="false">IF(A98="","",IFERROR(IF(INDEX(Events!$J$2:$J$67,MATCH(A98,Events!$A$2:$A$67,0))="Yes",IF(ISNUMBER(SEARCH("Criterium final",D98)),"No","Yes"),"No"),""))</f>
        <v>No</v>
      </c>
      <c r="L98" s="12"/>
      <c r="M98" s="12" t="n">
        <f aca="false">IF(OR(A98="",F98=""),0,IF(COUNTIFS($A$2:A98,A98,$F$2:F98,F98)=1,1,0))</f>
        <v>1</v>
      </c>
      <c r="N98" s="12" t="str">
        <f aca="false">IF(A98="","",IFERROR(INDEX(Events!$F$2:$F$67,MATCH(A98,Events!$A$2:$A$67,0)),""))</f>
        <v>MAS</v>
      </c>
      <c r="O98" s="12" t="n">
        <f aca="false">IF(AND(G98=1,K98="Yes",N98="POL"),IF(COUNTIFS($A$2:A98,A98,$D$2:D98,D98,$E$2:E98,E98,$G$2:G98,1)=1,1,0),0)</f>
        <v>0</v>
      </c>
      <c r="P98" s="12" t="n">
        <f aca="false">IF(AND(ISNUMBER(G98),K98="Yes",N98="POL"),IF(AND(G98&gt;=1,G98&lt;=3,COUNTIFS($A$2:A98,A98,$D$2:D98,D98,$E$2:E98,E98,$G$2:G98,G98)=1),1,0),0)</f>
        <v>0</v>
      </c>
    </row>
    <row r="99" customFormat="false" ht="15" hidden="false" customHeight="false" outlineLevel="0" collapsed="false">
      <c r="A99" s="12" t="s">
        <v>316</v>
      </c>
      <c r="B99" s="13" t="n">
        <v>46137</v>
      </c>
      <c r="C99" s="12" t="str">
        <f aca="false">IF(A99="","",IFERROR(INDEX(Events!$D$2:$D$67,MATCH(A99,Events!$A$2:$A$67,0)),"Unknown event ID"))</f>
        <v>UCI Track Nations Cup – Nilai</v>
      </c>
      <c r="D99" s="12" t="s">
        <v>370</v>
      </c>
      <c r="E99" s="12" t="s">
        <v>59</v>
      </c>
      <c r="F99" s="12" t="s">
        <v>69</v>
      </c>
      <c r="G99" s="12" t="n">
        <v>9</v>
      </c>
      <c r="H99" s="12" t="s">
        <v>366</v>
      </c>
      <c r="I99" s="12"/>
      <c r="J99" s="12" t="s">
        <v>71</v>
      </c>
      <c r="K99" s="12" t="str">
        <f aca="false">IF(A99="","",IFERROR(IF(INDEX(Events!$J$2:$J$67,MATCH(A99,Events!$A$2:$A$67,0))="Yes",IF(ISNUMBER(SEARCH("Criterium final",D99)),"No","Yes"),"No"),""))</f>
        <v>No</v>
      </c>
      <c r="L99" s="12"/>
      <c r="M99" s="12" t="n">
        <f aca="false">IF(OR(A99="",F99=""),0,IF(COUNTIFS($A$2:A99,A99,$F$2:F99,F99)=1,1,0))</f>
        <v>0</v>
      </c>
      <c r="N99" s="12" t="str">
        <f aca="false">IF(A99="","",IFERROR(INDEX(Events!$F$2:$F$67,MATCH(A99,Events!$A$2:$A$67,0)),""))</f>
        <v>MAS</v>
      </c>
      <c r="O99" s="12" t="n">
        <f aca="false">IF(AND(G99=1,K99="Yes",N99="POL"),IF(COUNTIFS($A$2:A99,A99,$D$2:D99,D99,$E$2:E99,E99,$G$2:G99,1)=1,1,0),0)</f>
        <v>0</v>
      </c>
      <c r="P99" s="12" t="n">
        <f aca="false">IF(AND(ISNUMBER(G99),K99="Yes",N99="POL"),IF(AND(G99&gt;=1,G99&lt;=3,COUNTIFS($A$2:A99,A99,$D$2:D99,D99,$E$2:E99,E99,$G$2:G99,G99)=1),1,0),0)</f>
        <v>0</v>
      </c>
    </row>
    <row r="100" customFormat="false" ht="15" hidden="false" customHeight="false" outlineLevel="0" collapsed="false">
      <c r="A100" s="12" t="s">
        <v>207</v>
      </c>
      <c r="B100" s="13" t="n">
        <v>46142</v>
      </c>
      <c r="C100" s="12" t="str">
        <f aca="false">IF(A100="","",IFERROR(INDEX(Events!$D$2:$D$67,MATCH(A100,Events!$A$2:$A$67,0)),"Unknown event ID"))</f>
        <v>Gracia Orlová</v>
      </c>
      <c r="D100" s="12" t="s">
        <v>377</v>
      </c>
      <c r="E100" s="12" t="s">
        <v>59</v>
      </c>
      <c r="F100" s="12" t="s">
        <v>69</v>
      </c>
      <c r="G100" s="12" t="n">
        <v>65</v>
      </c>
      <c r="H100" s="12" t="s">
        <v>366</v>
      </c>
      <c r="I100" s="12"/>
      <c r="J100" s="12" t="s">
        <v>71</v>
      </c>
      <c r="K100" s="12" t="str">
        <f aca="false">IF(A100="","",IFERROR(IF(INDEX(Events!$J$2:$J$67,MATCH(A100,Events!$A$2:$A$67,0))="Yes",IF(ISNUMBER(SEARCH("Criterium final",D100)),"No","Yes"),"No"),""))</f>
        <v>No</v>
      </c>
      <c r="L100" s="12"/>
      <c r="M100" s="12" t="n">
        <f aca="false">IF(OR(A100="",F100=""),0,IF(COUNTIFS($A$2:A100,A100,$F$2:F100,F100)=1,1,0))</f>
        <v>1</v>
      </c>
      <c r="N100" s="12" t="str">
        <f aca="false">IF(A100="","",IFERROR(INDEX(Events!$F$2:$F$67,MATCH(A100,Events!$A$2:$A$67,0)),""))</f>
        <v>CZE</v>
      </c>
      <c r="O100" s="12" t="n">
        <f aca="false">IF(AND(G100=1,K100="Yes",N100="POL"),IF(COUNTIFS($A$2:A100,A100,$D$2:D100,D100,$E$2:E100,E100,$G$2:G100,1)=1,1,0),0)</f>
        <v>0</v>
      </c>
      <c r="P100" s="12" t="n">
        <f aca="false">IF(AND(ISNUMBER(G100),K100="Yes",N100="POL"),IF(AND(G100&gt;=1,G100&lt;=3,COUNTIFS($A$2:A100,A100,$D$2:D100,D100,$E$2:E100,E100,$G$2:G100,G100)=1),1,0),0)</f>
        <v>0</v>
      </c>
    </row>
    <row r="101" customFormat="false" ht="15" hidden="false" customHeight="false" outlineLevel="0" collapsed="false">
      <c r="A101" s="12" t="s">
        <v>207</v>
      </c>
      <c r="B101" s="13" t="n">
        <v>46143</v>
      </c>
      <c r="C101" s="12" t="str">
        <f aca="false">IF(A101="","",IFERROR(INDEX(Events!$D$2:$D$67,MATCH(A101,Events!$A$2:$A$67,0)),"Unknown event ID"))</f>
        <v>Gracia Orlová</v>
      </c>
      <c r="D101" s="12" t="s">
        <v>373</v>
      </c>
      <c r="E101" s="12" t="s">
        <v>59</v>
      </c>
      <c r="F101" s="12" t="s">
        <v>69</v>
      </c>
      <c r="G101" s="12" t="n">
        <v>75</v>
      </c>
      <c r="H101" s="12" t="s">
        <v>366</v>
      </c>
      <c r="I101" s="12"/>
      <c r="J101" s="12" t="s">
        <v>71</v>
      </c>
      <c r="K101" s="12" t="str">
        <f aca="false">IF(A101="","",IFERROR(IF(INDEX(Events!$J$2:$J$67,MATCH(A101,Events!$A$2:$A$67,0))="Yes",IF(ISNUMBER(SEARCH("Criterium final",D101)),"No","Yes"),"No"),""))</f>
        <v>No</v>
      </c>
      <c r="L101" s="12"/>
      <c r="M101" s="12" t="n">
        <f aca="false">IF(OR(A101="",F101=""),0,IF(COUNTIFS($A$2:A101,A101,$F$2:F101,F101)=1,1,0))</f>
        <v>0</v>
      </c>
      <c r="N101" s="12" t="str">
        <f aca="false">IF(A101="","",IFERROR(INDEX(Events!$F$2:$F$67,MATCH(A101,Events!$A$2:$A$67,0)),""))</f>
        <v>CZE</v>
      </c>
      <c r="O101" s="12" t="n">
        <f aca="false">IF(AND(G101=1,K101="Yes",N101="POL"),IF(COUNTIFS($A$2:A101,A101,$D$2:D101,D101,$E$2:E101,E101,$G$2:G101,1)=1,1,0),0)</f>
        <v>0</v>
      </c>
      <c r="P101" s="12" t="n">
        <f aca="false">IF(AND(ISNUMBER(G101),K101="Yes",N101="POL"),IF(AND(G101&gt;=1,G101&lt;=3,COUNTIFS($A$2:A101,A101,$D$2:D101,D101,$E$2:E101,E101,$G$2:G101,G101)=1),1,0),0)</f>
        <v>0</v>
      </c>
    </row>
    <row r="102" customFormat="false" ht="15" hidden="false" customHeight="false" outlineLevel="0" collapsed="false">
      <c r="A102" s="12" t="s">
        <v>207</v>
      </c>
      <c r="B102" s="13" t="n">
        <v>46144</v>
      </c>
      <c r="C102" s="12" t="str">
        <f aca="false">IF(A102="","",IFERROR(INDEX(Events!$D$2:$D$67,MATCH(A102,Events!$A$2:$A$67,0)),"Unknown event ID"))</f>
        <v>Gracia Orlová</v>
      </c>
      <c r="D102" s="12" t="s">
        <v>374</v>
      </c>
      <c r="E102" s="12" t="s">
        <v>59</v>
      </c>
      <c r="F102" s="12" t="s">
        <v>69</v>
      </c>
      <c r="G102" s="12" t="n">
        <v>10</v>
      </c>
      <c r="H102" s="12" t="s">
        <v>366</v>
      </c>
      <c r="I102" s="12"/>
      <c r="J102" s="12" t="s">
        <v>71</v>
      </c>
      <c r="K102" s="12" t="str">
        <f aca="false">IF(A102="","",IFERROR(IF(INDEX(Events!$J$2:$J$67,MATCH(A102,Events!$A$2:$A$67,0))="Yes",IF(ISNUMBER(SEARCH("Criterium final",D102)),"No","Yes"),"No"),""))</f>
        <v>No</v>
      </c>
      <c r="L102" s="12"/>
      <c r="M102" s="12" t="n">
        <f aca="false">IF(OR(A102="",F102=""),0,IF(COUNTIFS($A$2:A102,A102,$F$2:F102,F102)=1,1,0))</f>
        <v>0</v>
      </c>
      <c r="N102" s="12" t="str">
        <f aca="false">IF(A102="","",IFERROR(INDEX(Events!$F$2:$F$67,MATCH(A102,Events!$A$2:$A$67,0)),""))</f>
        <v>CZE</v>
      </c>
      <c r="O102" s="12" t="n">
        <f aca="false">IF(AND(G102=1,K102="Yes",N102="POL"),IF(COUNTIFS($A$2:A102,A102,$D$2:D102,D102,$E$2:E102,E102,$G$2:G102,1)=1,1,0),0)</f>
        <v>0</v>
      </c>
      <c r="P102" s="12" t="n">
        <f aca="false">IF(AND(ISNUMBER(G102),K102="Yes",N102="POL"),IF(AND(G102&gt;=1,G102&lt;=3,COUNTIFS($A$2:A102,A102,$D$2:D102,D102,$E$2:E102,E102,$G$2:G102,G102)=1),1,0),0)</f>
        <v>0</v>
      </c>
    </row>
    <row r="103" customFormat="false" ht="15" hidden="false" customHeight="false" outlineLevel="0" collapsed="false">
      <c r="A103" s="12" t="s">
        <v>207</v>
      </c>
      <c r="B103" s="13" t="n">
        <v>46144</v>
      </c>
      <c r="C103" s="12" t="str">
        <f aca="false">IF(A103="","",IFERROR(INDEX(Events!$D$2:$D$67,MATCH(A103,Events!$A$2:$A$67,0)),"Unknown event ID"))</f>
        <v>Gracia Orlová</v>
      </c>
      <c r="D103" s="12" t="s">
        <v>375</v>
      </c>
      <c r="E103" s="12" t="s">
        <v>59</v>
      </c>
      <c r="F103" s="12" t="s">
        <v>69</v>
      </c>
      <c r="G103" s="12" t="n">
        <v>17</v>
      </c>
      <c r="H103" s="12" t="s">
        <v>366</v>
      </c>
      <c r="I103" s="12"/>
      <c r="J103" s="12" t="s">
        <v>71</v>
      </c>
      <c r="K103" s="12" t="str">
        <f aca="false">IF(A103="","",IFERROR(IF(INDEX(Events!$J$2:$J$67,MATCH(A103,Events!$A$2:$A$67,0))="Yes",IF(ISNUMBER(SEARCH("Criterium final",D103)),"No","Yes"),"No"),""))</f>
        <v>No</v>
      </c>
      <c r="L103" s="12"/>
      <c r="M103" s="12" t="n">
        <f aca="false">IF(OR(A103="",F103=""),0,IF(COUNTIFS($A$2:A103,A103,$F$2:F103,F103)=1,1,0))</f>
        <v>0</v>
      </c>
      <c r="N103" s="12" t="str">
        <f aca="false">IF(A103="","",IFERROR(INDEX(Events!$F$2:$F$67,MATCH(A103,Events!$A$2:$A$67,0)),""))</f>
        <v>CZE</v>
      </c>
      <c r="O103" s="12" t="n">
        <f aca="false">IF(AND(G103=1,K103="Yes",N103="POL"),IF(COUNTIFS($A$2:A103,A103,$D$2:D103,D103,$E$2:E103,E103,$G$2:G103,1)=1,1,0),0)</f>
        <v>0</v>
      </c>
      <c r="P103" s="12" t="n">
        <f aca="false">IF(AND(ISNUMBER(G103),K103="Yes",N103="POL"),IF(AND(G103&gt;=1,G103&lt;=3,COUNTIFS($A$2:A103,A103,$D$2:D103,D103,$E$2:E103,E103,$G$2:G103,G103)=1),1,0),0)</f>
        <v>0</v>
      </c>
    </row>
    <row r="104" customFormat="false" ht="15" hidden="false" customHeight="false" outlineLevel="0" collapsed="false">
      <c r="A104" s="12" t="s">
        <v>207</v>
      </c>
      <c r="B104" s="13" t="n">
        <v>46145</v>
      </c>
      <c r="C104" s="12" t="str">
        <f aca="false">IF(A104="","",IFERROR(INDEX(Events!$D$2:$D$67,MATCH(A104,Events!$A$2:$A$67,0)),"Unknown event ID"))</f>
        <v>Gracia Orlová</v>
      </c>
      <c r="D104" s="12" t="s">
        <v>394</v>
      </c>
      <c r="E104" s="12" t="s">
        <v>59</v>
      </c>
      <c r="F104" s="12" t="s">
        <v>69</v>
      </c>
      <c r="G104" s="12" t="n">
        <v>34</v>
      </c>
      <c r="H104" s="12" t="s">
        <v>366</v>
      </c>
      <c r="I104" s="12"/>
      <c r="J104" s="12" t="s">
        <v>71</v>
      </c>
      <c r="K104" s="12" t="str">
        <f aca="false">IF(A104="","",IFERROR(IF(INDEX(Events!$J$2:$J$67,MATCH(A104,Events!$A$2:$A$67,0))="Yes",IF(ISNUMBER(SEARCH("Criterium final",D104)),"No","Yes"),"No"),""))</f>
        <v>No</v>
      </c>
      <c r="L104" s="12"/>
      <c r="M104" s="12" t="n">
        <f aca="false">IF(OR(A104="",F104=""),0,IF(COUNTIFS($A$2:A104,A104,$F$2:F104,F104)=1,1,0))</f>
        <v>0</v>
      </c>
      <c r="N104" s="12" t="str">
        <f aca="false">IF(A104="","",IFERROR(INDEX(Events!$F$2:$F$67,MATCH(A104,Events!$A$2:$A$67,0)),""))</f>
        <v>CZE</v>
      </c>
      <c r="O104" s="12" t="n">
        <f aca="false">IF(AND(G104=1,K104="Yes",N104="POL"),IF(COUNTIFS($A$2:A104,A104,$D$2:D104,D104,$E$2:E104,E104,$G$2:G104,1)=1,1,0),0)</f>
        <v>0</v>
      </c>
      <c r="P104" s="12" t="n">
        <f aca="false">IF(AND(ISNUMBER(G104),K104="Yes",N104="POL"),IF(AND(G104&gt;=1,G104&lt;=3,COUNTIFS($A$2:A104,A104,$D$2:D104,D104,$E$2:E104,E104,$G$2:G104,G104)=1),1,0),0)</f>
        <v>0</v>
      </c>
    </row>
    <row r="105" customFormat="false" ht="15" hidden="false" customHeight="false" outlineLevel="0" collapsed="false">
      <c r="A105" s="12" t="s">
        <v>207</v>
      </c>
      <c r="B105" s="13" t="n">
        <v>46145</v>
      </c>
      <c r="C105" s="12" t="str">
        <f aca="false">IF(A105="","",IFERROR(INDEX(Events!$D$2:$D$67,MATCH(A105,Events!$A$2:$A$67,0)),"Unknown event ID"))</f>
        <v>Gracia Orlová</v>
      </c>
      <c r="D105" s="12" t="s">
        <v>376</v>
      </c>
      <c r="E105" s="12" t="s">
        <v>59</v>
      </c>
      <c r="F105" s="12" t="s">
        <v>69</v>
      </c>
      <c r="G105" s="12" t="n">
        <v>46</v>
      </c>
      <c r="H105" s="12" t="s">
        <v>366</v>
      </c>
      <c r="I105" s="12"/>
      <c r="J105" s="12" t="s">
        <v>71</v>
      </c>
      <c r="K105" s="12" t="str">
        <f aca="false">IF(A105="","",IFERROR(IF(INDEX(Events!$J$2:$J$67,MATCH(A105,Events!$A$2:$A$67,0))="Yes",IF(ISNUMBER(SEARCH("Criterium final",D105)),"No","Yes"),"No"),""))</f>
        <v>No</v>
      </c>
      <c r="L105" s="12"/>
      <c r="M105" s="12" t="n">
        <f aca="false">IF(OR(A105="",F105=""),0,IF(COUNTIFS($A$2:A105,A105,$F$2:F105,F105)=1,1,0))</f>
        <v>0</v>
      </c>
      <c r="N105" s="12" t="str">
        <f aca="false">IF(A105="","",IFERROR(INDEX(Events!$F$2:$F$67,MATCH(A105,Events!$A$2:$A$67,0)),""))</f>
        <v>CZE</v>
      </c>
      <c r="O105" s="12" t="n">
        <f aca="false">IF(AND(G105=1,K105="Yes",N105="POL"),IF(COUNTIFS($A$2:A105,A105,$D$2:D105,D105,$E$2:E105,E105,$G$2:G105,1)=1,1,0),0)</f>
        <v>0</v>
      </c>
      <c r="P105" s="12" t="n">
        <f aca="false">IF(AND(ISNUMBER(G105),K105="Yes",N105="POL"),IF(AND(G105&gt;=1,G105&lt;=3,COUNTIFS($A$2:A105,A105,$D$2:D105,D105,$E$2:E105,E105,$G$2:G105,G105)=1),1,0),0)</f>
        <v>0</v>
      </c>
    </row>
    <row r="106" customFormat="false" ht="15" hidden="false" customHeight="false" outlineLevel="0" collapsed="false">
      <c r="A106" s="12" t="s">
        <v>223</v>
      </c>
      <c r="B106" s="13" t="n">
        <v>46156</v>
      </c>
      <c r="C106" s="12" t="str">
        <f aca="false">IF(A106="","",IFERROR(INDEX(Events!$D$2:$D$67,MATCH(A106,Events!$A$2:$A$67,0)),"Unknown event ID"))</f>
        <v>Tour de Feminin</v>
      </c>
      <c r="D106" s="12" t="s">
        <v>372</v>
      </c>
      <c r="E106" s="12" t="s">
        <v>59</v>
      </c>
      <c r="F106" s="12" t="s">
        <v>69</v>
      </c>
      <c r="G106" s="12" t="n">
        <v>7</v>
      </c>
      <c r="H106" s="12" t="s">
        <v>366</v>
      </c>
      <c r="I106" s="12"/>
      <c r="J106" s="12" t="s">
        <v>71</v>
      </c>
      <c r="K106" s="12" t="str">
        <f aca="false">IF(A106="","",IFERROR(IF(INDEX(Events!$J$2:$J$67,MATCH(A106,Events!$A$2:$A$67,0))="Yes",IF(ISNUMBER(SEARCH("Criterium final",D106)),"No","Yes"),"No"),""))</f>
        <v>No</v>
      </c>
      <c r="L106" s="12"/>
      <c r="M106" s="12" t="n">
        <f aca="false">IF(OR(A106="",F106=""),0,IF(COUNTIFS($A$2:A106,A106,$F$2:F106,F106)=1,1,0))</f>
        <v>1</v>
      </c>
      <c r="N106" s="12" t="str">
        <f aca="false">IF(A106="","",IFERROR(INDEX(Events!$F$2:$F$67,MATCH(A106,Events!$A$2:$A$67,0)),""))</f>
        <v>CZE</v>
      </c>
      <c r="O106" s="12" t="n">
        <f aca="false">IF(AND(G106=1,K106="Yes",N106="POL"),IF(COUNTIFS($A$2:A106,A106,$D$2:D106,D106,$E$2:E106,E106,$G$2:G106,1)=1,1,0),0)</f>
        <v>0</v>
      </c>
      <c r="P106" s="12" t="n">
        <f aca="false">IF(AND(ISNUMBER(G106),K106="Yes",N106="POL"),IF(AND(G106&gt;=1,G106&lt;=3,COUNTIFS($A$2:A106,A106,$D$2:D106,D106,$E$2:E106,E106,$G$2:G106,G106)=1),1,0),0)</f>
        <v>0</v>
      </c>
    </row>
    <row r="107" customFormat="false" ht="15" hidden="false" customHeight="false" outlineLevel="0" collapsed="false">
      <c r="A107" s="12" t="s">
        <v>223</v>
      </c>
      <c r="B107" s="13" t="n">
        <v>46157</v>
      </c>
      <c r="C107" s="12" t="str">
        <f aca="false">IF(A107="","",IFERROR(INDEX(Events!$D$2:$D$67,MATCH(A107,Events!$A$2:$A$67,0)),"Unknown event ID"))</f>
        <v>Tour de Feminin</v>
      </c>
      <c r="D107" s="12" t="s">
        <v>373</v>
      </c>
      <c r="E107" s="12" t="s">
        <v>59</v>
      </c>
      <c r="F107" s="12" t="s">
        <v>69</v>
      </c>
      <c r="G107" s="12" t="n">
        <v>15</v>
      </c>
      <c r="H107" s="12" t="s">
        <v>366</v>
      </c>
      <c r="I107" s="12"/>
      <c r="J107" s="12" t="s">
        <v>71</v>
      </c>
      <c r="K107" s="12" t="str">
        <f aca="false">IF(A107="","",IFERROR(IF(INDEX(Events!$J$2:$J$67,MATCH(A107,Events!$A$2:$A$67,0))="Yes",IF(ISNUMBER(SEARCH("Criterium final",D107)),"No","Yes"),"No"),""))</f>
        <v>No</v>
      </c>
      <c r="L107" s="12"/>
      <c r="M107" s="12" t="n">
        <f aca="false">IF(OR(A107="",F107=""),0,IF(COUNTIFS($A$2:A107,A107,$F$2:F107,F107)=1,1,0))</f>
        <v>0</v>
      </c>
      <c r="N107" s="12" t="str">
        <f aca="false">IF(A107="","",IFERROR(INDEX(Events!$F$2:$F$67,MATCH(A107,Events!$A$2:$A$67,0)),""))</f>
        <v>CZE</v>
      </c>
      <c r="O107" s="12" t="n">
        <f aca="false">IF(AND(G107=1,K107="Yes",N107="POL"),IF(COUNTIFS($A$2:A107,A107,$D$2:D107,D107,$E$2:E107,E107,$G$2:G107,1)=1,1,0),0)</f>
        <v>0</v>
      </c>
      <c r="P107" s="12" t="n">
        <f aca="false">IF(AND(ISNUMBER(G107),K107="Yes",N107="POL"),IF(AND(G107&gt;=1,G107&lt;=3,COUNTIFS($A$2:A107,A107,$D$2:D107,D107,$E$2:E107,E107,$G$2:G107,G107)=1),1,0),0)</f>
        <v>0</v>
      </c>
    </row>
    <row r="108" customFormat="false" ht="15" hidden="false" customHeight="false" outlineLevel="0" collapsed="false">
      <c r="A108" s="12" t="s">
        <v>223</v>
      </c>
      <c r="B108" s="13" t="n">
        <v>46158</v>
      </c>
      <c r="C108" s="12" t="str">
        <f aca="false">IF(A108="","",IFERROR(INDEX(Events!$D$2:$D$67,MATCH(A108,Events!$A$2:$A$67,0)),"Unknown event ID"))</f>
        <v>Tour de Feminin</v>
      </c>
      <c r="D108" s="12" t="s">
        <v>374</v>
      </c>
      <c r="E108" s="12" t="s">
        <v>59</v>
      </c>
      <c r="F108" s="12" t="s">
        <v>69</v>
      </c>
      <c r="G108" s="12" t="n">
        <v>82</v>
      </c>
      <c r="H108" s="12" t="s">
        <v>366</v>
      </c>
      <c r="I108" s="12"/>
      <c r="J108" s="12" t="s">
        <v>71</v>
      </c>
      <c r="K108" s="12" t="str">
        <f aca="false">IF(A108="","",IFERROR(IF(INDEX(Events!$J$2:$J$67,MATCH(A108,Events!$A$2:$A$67,0))="Yes",IF(ISNUMBER(SEARCH("Criterium final",D108)),"No","Yes"),"No"),""))</f>
        <v>No</v>
      </c>
      <c r="L108" s="12"/>
      <c r="M108" s="12" t="n">
        <f aca="false">IF(OR(A108="",F108=""),0,IF(COUNTIFS($A$2:A108,A108,$F$2:F108,F108)=1,1,0))</f>
        <v>0</v>
      </c>
      <c r="N108" s="12" t="str">
        <f aca="false">IF(A108="","",IFERROR(INDEX(Events!$F$2:$F$67,MATCH(A108,Events!$A$2:$A$67,0)),""))</f>
        <v>CZE</v>
      </c>
      <c r="O108" s="12" t="n">
        <f aca="false">IF(AND(G108=1,K108="Yes",N108="POL"),IF(COUNTIFS($A$2:A108,A108,$D$2:D108,D108,$E$2:E108,E108,$G$2:G108,1)=1,1,0),0)</f>
        <v>0</v>
      </c>
      <c r="P108" s="12" t="n">
        <f aca="false">IF(AND(ISNUMBER(G108),K108="Yes",N108="POL"),IF(AND(G108&gt;=1,G108&lt;=3,COUNTIFS($A$2:A108,A108,$D$2:D108,D108,$E$2:E108,E108,$G$2:G108,G108)=1),1,0),0)</f>
        <v>0</v>
      </c>
    </row>
    <row r="109" customFormat="false" ht="15" hidden="false" customHeight="false" outlineLevel="0" collapsed="false">
      <c r="A109" s="12" t="s">
        <v>223</v>
      </c>
      <c r="B109" s="13" t="n">
        <v>46159</v>
      </c>
      <c r="C109" s="12" t="str">
        <f aca="false">IF(A109="","",IFERROR(INDEX(Events!$D$2:$D$67,MATCH(A109,Events!$A$2:$A$67,0)),"Unknown event ID"))</f>
        <v>Tour de Feminin</v>
      </c>
      <c r="D109" s="12" t="s">
        <v>375</v>
      </c>
      <c r="E109" s="12" t="s">
        <v>59</v>
      </c>
      <c r="F109" s="12" t="s">
        <v>69</v>
      </c>
      <c r="G109" s="12" t="n">
        <v>46</v>
      </c>
      <c r="H109" s="12" t="s">
        <v>366</v>
      </c>
      <c r="I109" s="12"/>
      <c r="J109" s="12" t="s">
        <v>71</v>
      </c>
      <c r="K109" s="12" t="str">
        <f aca="false">IF(A109="","",IFERROR(IF(INDEX(Events!$J$2:$J$67,MATCH(A109,Events!$A$2:$A$67,0))="Yes",IF(ISNUMBER(SEARCH("Criterium final",D109)),"No","Yes"),"No"),""))</f>
        <v>No</v>
      </c>
      <c r="L109" s="12"/>
      <c r="M109" s="12" t="n">
        <f aca="false">IF(OR(A109="",F109=""),0,IF(COUNTIFS($A$2:A109,A109,$F$2:F109,F109)=1,1,0))</f>
        <v>0</v>
      </c>
      <c r="N109" s="12" t="str">
        <f aca="false">IF(A109="","",IFERROR(INDEX(Events!$F$2:$F$67,MATCH(A109,Events!$A$2:$A$67,0)),""))</f>
        <v>CZE</v>
      </c>
      <c r="O109" s="12" t="n">
        <f aca="false">IF(AND(G109=1,K109="Yes",N109="POL"),IF(COUNTIFS($A$2:A109,A109,$D$2:D109,D109,$E$2:E109,E109,$G$2:G109,1)=1,1,0),0)</f>
        <v>0</v>
      </c>
      <c r="P109" s="12" t="n">
        <f aca="false">IF(AND(ISNUMBER(G109),K109="Yes",N109="POL"),IF(AND(G109&gt;=1,G109&lt;=3,COUNTIFS($A$2:A109,A109,$D$2:D109,D109,$E$2:E109,E109,$G$2:G109,G109)=1),1,0),0)</f>
        <v>0</v>
      </c>
    </row>
    <row r="110" customFormat="false" ht="15" hidden="false" customHeight="false" outlineLevel="0" collapsed="false">
      <c r="A110" s="12" t="s">
        <v>223</v>
      </c>
      <c r="B110" s="13" t="n">
        <v>46159</v>
      </c>
      <c r="C110" s="12" t="str">
        <f aca="false">IF(A110="","",IFERROR(INDEX(Events!$D$2:$D$67,MATCH(A110,Events!$A$2:$A$67,0)),"Unknown event ID"))</f>
        <v>Tour de Feminin</v>
      </c>
      <c r="D110" s="12" t="s">
        <v>376</v>
      </c>
      <c r="E110" s="12" t="s">
        <v>59</v>
      </c>
      <c r="F110" s="12" t="s">
        <v>69</v>
      </c>
      <c r="G110" s="12" t="n">
        <v>43</v>
      </c>
      <c r="H110" s="12" t="s">
        <v>366</v>
      </c>
      <c r="I110" s="12"/>
      <c r="J110" s="12" t="s">
        <v>71</v>
      </c>
      <c r="K110" s="12" t="str">
        <f aca="false">IF(A110="","",IFERROR(IF(INDEX(Events!$J$2:$J$67,MATCH(A110,Events!$A$2:$A$67,0))="Yes",IF(ISNUMBER(SEARCH("Criterium final",D110)),"No","Yes"),"No"),""))</f>
        <v>No</v>
      </c>
      <c r="L110" s="12"/>
      <c r="M110" s="12" t="n">
        <f aca="false">IF(OR(A110="",F110=""),0,IF(COUNTIFS($A$2:A110,A110,$F$2:F110,F110)=1,1,0))</f>
        <v>0</v>
      </c>
      <c r="N110" s="12" t="str">
        <f aca="false">IF(A110="","",IFERROR(INDEX(Events!$F$2:$F$67,MATCH(A110,Events!$A$2:$A$67,0)),""))</f>
        <v>CZE</v>
      </c>
      <c r="O110" s="12" t="n">
        <f aca="false">IF(AND(G110=1,K110="Yes",N110="POL"),IF(COUNTIFS($A$2:A110,A110,$D$2:D110,D110,$E$2:E110,E110,$G$2:G110,1)=1,1,0),0)</f>
        <v>0</v>
      </c>
      <c r="P110" s="12" t="n">
        <f aca="false">IF(AND(ISNUMBER(G110),K110="Yes",N110="POL"),IF(AND(G110&gt;=1,G110&lt;=3,COUNTIFS($A$2:A110,A110,$D$2:D110,D110,$E$2:E110,E110,$G$2:G110,G110)=1),1,0),0)</f>
        <v>0</v>
      </c>
    </row>
    <row r="111" customFormat="false" ht="15" hidden="false" customHeight="false" outlineLevel="0" collapsed="false">
      <c r="A111" s="12" t="s">
        <v>235</v>
      </c>
      <c r="B111" s="13" t="n">
        <v>46180</v>
      </c>
      <c r="C111" s="12" t="str">
        <f aca="false">IF(A111="","",IFERROR(INDEX(Events!$D$2:$D$67,MATCH(A111,Events!$A$2:$A$67,0)),"Unknown event ID"))</f>
        <v>Dwars door de Westhoek</v>
      </c>
      <c r="D111" s="12" t="s">
        <v>365</v>
      </c>
      <c r="E111" s="12" t="s">
        <v>59</v>
      </c>
      <c r="F111" s="12" t="s">
        <v>69</v>
      </c>
      <c r="G111" s="12" t="n">
        <v>22</v>
      </c>
      <c r="H111" s="12" t="s">
        <v>366</v>
      </c>
      <c r="I111" s="12"/>
      <c r="J111" s="12" t="s">
        <v>71</v>
      </c>
      <c r="K111" s="12" t="str">
        <f aca="false">IF(A111="","",IFERROR(IF(INDEX(Events!$J$2:$J$67,MATCH(A111,Events!$A$2:$A$67,0))="Yes",IF(ISNUMBER(SEARCH("Criterium final",D111)),"No","Yes"),"No"),""))</f>
        <v>No</v>
      </c>
      <c r="L111" s="12"/>
      <c r="M111" s="12" t="n">
        <f aca="false">IF(OR(A111="",F111=""),0,IF(COUNTIFS($A$2:A111,A111,$F$2:F111,F111)=1,1,0))</f>
        <v>1</v>
      </c>
      <c r="N111" s="12" t="str">
        <f aca="false">IF(A111="","",IFERROR(INDEX(Events!$F$2:$F$67,MATCH(A111,Events!$A$2:$A$67,0)),""))</f>
        <v>BEL</v>
      </c>
      <c r="O111" s="12" t="n">
        <f aca="false">IF(AND(G111=1,K111="Yes",N111="POL"),IF(COUNTIFS($A$2:A111,A111,$D$2:D111,D111,$E$2:E111,E111,$G$2:G111,1)=1,1,0),0)</f>
        <v>0</v>
      </c>
      <c r="P111" s="12" t="n">
        <f aca="false">IF(AND(ISNUMBER(G111),K111="Yes",N111="POL"),IF(AND(G111&gt;=1,G111&lt;=3,COUNTIFS($A$2:A111,A111,$D$2:D111,D111,$E$2:E111,E111,$G$2:G111,G111)=1),1,0),0)</f>
        <v>0</v>
      </c>
    </row>
    <row r="112" customFormat="false" ht="15" hidden="false" customHeight="false" outlineLevel="0" collapsed="false">
      <c r="A112" s="12" t="s">
        <v>246</v>
      </c>
      <c r="B112" s="13" t="n">
        <v>46198</v>
      </c>
      <c r="C112" s="12" t="str">
        <f aca="false">IF(A112="","",IFERROR(INDEX(Events!$D$2:$D$67,MATCH(A112,Events!$A$2:$A$67,0)),"Unknown event ID"))</f>
        <v>Polish Road Championships (ITT + road race)</v>
      </c>
      <c r="D112" s="12" t="s">
        <v>387</v>
      </c>
      <c r="E112" s="12" t="s">
        <v>66</v>
      </c>
      <c r="F112" s="12" t="s">
        <v>69</v>
      </c>
      <c r="G112" s="12" t="n">
        <v>6</v>
      </c>
      <c r="H112" s="12" t="s">
        <v>366</v>
      </c>
      <c r="I112" s="12"/>
      <c r="J112" s="12" t="s">
        <v>71</v>
      </c>
      <c r="K112" s="12" t="str">
        <f aca="false">IF(A112="","",IFERROR(IF(INDEX(Events!$J$2:$J$67,MATCH(A112,Events!$A$2:$A$67,0))="Yes",IF(ISNUMBER(SEARCH("Criterium final",D112)),"No","Yes"),"No"),""))</f>
        <v>Yes</v>
      </c>
      <c r="L112" s="12"/>
      <c r="M112" s="12" t="n">
        <f aca="false">IF(OR(A112="",F112=""),0,IF(COUNTIFS($A$2:A112,A112,$F$2:F112,F112)=1,1,0))</f>
        <v>1</v>
      </c>
      <c r="N112" s="12" t="str">
        <f aca="false">IF(A112="","",IFERROR(INDEX(Events!$F$2:$F$67,MATCH(A112,Events!$A$2:$A$67,0)),""))</f>
        <v>POL</v>
      </c>
      <c r="O112" s="12" t="n">
        <f aca="false">IF(AND(G112=1,K112="Yes",N112="POL"),IF(COUNTIFS($A$2:A112,A112,$D$2:D112,D112,$E$2:E112,E112,$G$2:G112,1)=1,1,0),0)</f>
        <v>0</v>
      </c>
      <c r="P112" s="12" t="n">
        <f aca="false">IF(AND(ISNUMBER(G112),K112="Yes",N112="POL"),IF(AND(G112&gt;=1,G112&lt;=3,COUNTIFS($A$2:A112,A112,$D$2:D112,D112,$E$2:E112,E112,$G$2:G112,G112)=1),1,0),0)</f>
        <v>0</v>
      </c>
    </row>
    <row r="113" customFormat="false" ht="15" hidden="false" customHeight="false" outlineLevel="0" collapsed="false">
      <c r="A113" s="12" t="s">
        <v>246</v>
      </c>
      <c r="B113" s="13" t="n">
        <v>46200</v>
      </c>
      <c r="C113" s="12" t="str">
        <f aca="false">IF(A113="","",IFERROR(INDEX(Events!$D$2:$D$67,MATCH(A113,Events!$A$2:$A$67,0)),"Unknown event ID"))</f>
        <v>Polish Road Championships (ITT + road race)</v>
      </c>
      <c r="D113" s="12" t="s">
        <v>367</v>
      </c>
      <c r="E113" s="12" t="s">
        <v>59</v>
      </c>
      <c r="F113" s="12" t="s">
        <v>69</v>
      </c>
      <c r="G113" s="12" t="n">
        <v>5</v>
      </c>
      <c r="H113" s="12" t="s">
        <v>366</v>
      </c>
      <c r="I113" s="12"/>
      <c r="J113" s="12" t="s">
        <v>71</v>
      </c>
      <c r="K113" s="12" t="str">
        <f aca="false">IF(A113="","",IFERROR(IF(INDEX(Events!$J$2:$J$67,MATCH(A113,Events!$A$2:$A$67,0))="Yes",IF(ISNUMBER(SEARCH("Criterium final",D113)),"No","Yes"),"No"),""))</f>
        <v>Yes</v>
      </c>
      <c r="L113" s="12"/>
      <c r="M113" s="12" t="n">
        <f aca="false">IF(OR(A113="",F113=""),0,IF(COUNTIFS($A$2:A113,A113,$F$2:F113,F113)=1,1,0))</f>
        <v>0</v>
      </c>
      <c r="N113" s="12" t="str">
        <f aca="false">IF(A113="","",IFERROR(INDEX(Events!$F$2:$F$67,MATCH(A113,Events!$A$2:$A$67,0)),""))</f>
        <v>POL</v>
      </c>
      <c r="O113" s="12" t="n">
        <f aca="false">IF(AND(G113=1,K113="Yes",N113="POL"),IF(COUNTIFS($A$2:A113,A113,$D$2:D113,D113,$E$2:E113,E113,$G$2:G113,1)=1,1,0),0)</f>
        <v>0</v>
      </c>
      <c r="P113" s="12" t="n">
        <f aca="false">IF(AND(ISNUMBER(G113),K113="Yes",N113="POL"),IF(AND(G113&gt;=1,G113&lt;=3,COUNTIFS($A$2:A113,A113,$D$2:D113,D113,$E$2:E113,E113,$G$2:G113,G113)=1),1,0),0)</f>
        <v>0</v>
      </c>
    </row>
    <row r="114" customFormat="false" ht="15" hidden="false" customHeight="false" outlineLevel="0" collapsed="false">
      <c r="A114" s="12" t="s">
        <v>249</v>
      </c>
      <c r="B114" s="13" t="n">
        <v>46210</v>
      </c>
      <c r="C114" s="12" t="str">
        <f aca="false">IF(A114="","",IFERROR(INDEX(Events!$D$2:$D$67,MATCH(A114,Events!$A$2:$A$67,0)),"Unknown event ID"))</f>
        <v>UEC Track Junior &amp; U23 European Championships</v>
      </c>
      <c r="D114" s="12" t="s">
        <v>384</v>
      </c>
      <c r="E114" s="12" t="s">
        <v>66</v>
      </c>
      <c r="F114" s="12" t="s">
        <v>69</v>
      </c>
      <c r="G114" s="12" t="n">
        <v>9</v>
      </c>
      <c r="H114" s="12" t="s">
        <v>366</v>
      </c>
      <c r="I114" s="12"/>
      <c r="J114" s="12" t="s">
        <v>410</v>
      </c>
      <c r="K114" s="12" t="str">
        <f aca="false">IF(A114="","",IFERROR(IF(INDEX(Events!$J$2:$J$67,MATCH(A114,Events!$A$2:$A$67,0))="Yes",IF(ISNUMBER(SEARCH("Criterium final",D114)),"No","Yes"),"No"),""))</f>
        <v>No</v>
      </c>
      <c r="L114" s="12"/>
      <c r="M114" s="12" t="n">
        <f aca="false">IF(OR(A114="",F114=""),0,IF(COUNTIFS($A$2:A114,A114,$F$2:F114,F114)=1,1,0))</f>
        <v>1</v>
      </c>
      <c r="N114" s="12" t="str">
        <f aca="false">IF(A114="","",IFERROR(INDEX(Events!$F$2:$F$67,MATCH(A114,Events!$A$2:$A$67,0)),""))</f>
        <v>GER</v>
      </c>
      <c r="O114" s="12" t="n">
        <f aca="false">IF(AND(G114=1,K114="Yes",N114="POL"),IF(COUNTIFS($A$2:A114,A114,$D$2:D114,D114,$E$2:E114,E114,$G$2:G114,1)=1,1,0),0)</f>
        <v>0</v>
      </c>
      <c r="P114" s="12" t="n">
        <f aca="false">IF(AND(ISNUMBER(G114),K114="Yes",N114="POL"),IF(AND(G114&gt;=1,G114&lt;=3,COUNTIFS($A$2:A114,A114,$D$2:D114,D114,$E$2:E114,E114,$G$2:G114,G114)=1),1,0),0)</f>
        <v>0</v>
      </c>
    </row>
    <row r="115" customFormat="false" ht="15" hidden="false" customHeight="false" outlineLevel="0" collapsed="false">
      <c r="A115" s="12" t="s">
        <v>249</v>
      </c>
      <c r="B115" s="13" t="n">
        <v>46213</v>
      </c>
      <c r="C115" s="12" t="str">
        <f aca="false">IF(A115="","",IFERROR(INDEX(Events!$D$2:$D$67,MATCH(A115,Events!$A$2:$A$67,0)),"Unknown event ID"))</f>
        <v>UEC Track Junior &amp; U23 European Championships</v>
      </c>
      <c r="D115" s="12" t="s">
        <v>369</v>
      </c>
      <c r="E115" s="12" t="s">
        <v>66</v>
      </c>
      <c r="F115" s="12" t="s">
        <v>69</v>
      </c>
      <c r="G115" s="12" t="n">
        <v>3</v>
      </c>
      <c r="H115" s="12" t="s">
        <v>366</v>
      </c>
      <c r="I115" s="12" t="s">
        <v>399</v>
      </c>
      <c r="J115" s="12" t="s">
        <v>400</v>
      </c>
      <c r="K115" s="12" t="str">
        <f aca="false">IF(A115="","",IFERROR(IF(INDEX(Events!$J$2:$J$67,MATCH(A115,Events!$A$2:$A$67,0))="Yes",IF(ISNUMBER(SEARCH("Criterium final",D115)),"No","Yes"),"No"),""))</f>
        <v>No</v>
      </c>
      <c r="L115" s="12"/>
      <c r="M115" s="12" t="n">
        <f aca="false">IF(OR(A115="",F115=""),0,IF(COUNTIFS($A$2:A115,A115,$F$2:F115,F115)=1,1,0))</f>
        <v>0</v>
      </c>
      <c r="N115" s="12" t="str">
        <f aca="false">IF(A115="","",IFERROR(INDEX(Events!$F$2:$F$67,MATCH(A115,Events!$A$2:$A$67,0)),""))</f>
        <v>GER</v>
      </c>
      <c r="O115" s="12" t="n">
        <f aca="false">IF(AND(G115=1,K115="Yes",N115="POL"),IF(COUNTIFS($A$2:A115,A115,$D$2:D115,D115,$E$2:E115,E115,$G$2:G115,1)=1,1,0),0)</f>
        <v>0</v>
      </c>
      <c r="P115" s="12" t="n">
        <f aca="false">IF(AND(ISNUMBER(G115),K115="Yes",N115="POL"),IF(AND(G115&gt;=1,G115&lt;=3,COUNTIFS($A$2:A115,A115,$D$2:D115,D115,$E$2:E115,E115,$G$2:G115,G115)=1),1,0),0)</f>
        <v>0</v>
      </c>
    </row>
    <row r="116" customFormat="false" ht="15" hidden="false" customHeight="false" outlineLevel="0" collapsed="false">
      <c r="A116" s="12" t="s">
        <v>249</v>
      </c>
      <c r="B116" s="13" t="n">
        <v>46215</v>
      </c>
      <c r="C116" s="12" t="str">
        <f aca="false">IF(A116="","",IFERROR(INDEX(Events!$D$2:$D$67,MATCH(A116,Events!$A$2:$A$67,0)),"Unknown event ID"))</f>
        <v>UEC Track Junior &amp; U23 European Championships</v>
      </c>
      <c r="D116" s="12" t="s">
        <v>370</v>
      </c>
      <c r="E116" s="12" t="s">
        <v>66</v>
      </c>
      <c r="F116" s="12" t="s">
        <v>69</v>
      </c>
      <c r="G116" s="12" t="n">
        <v>7</v>
      </c>
      <c r="H116" s="12" t="s">
        <v>366</v>
      </c>
      <c r="I116" s="12" t="s">
        <v>411</v>
      </c>
      <c r="J116" s="12" t="s">
        <v>412</v>
      </c>
      <c r="K116" s="12" t="str">
        <f aca="false">IF(A116="","",IFERROR(IF(INDEX(Events!$J$2:$J$67,MATCH(A116,Events!$A$2:$A$67,0))="Yes",IF(ISNUMBER(SEARCH("Criterium final",D116)),"No","Yes"),"No"),""))</f>
        <v>No</v>
      </c>
      <c r="L116" s="12"/>
      <c r="M116" s="12" t="n">
        <f aca="false">IF(OR(A116="",F116=""),0,IF(COUNTIFS($A$2:A116,A116,$F$2:F116,F116)=1,1,0))</f>
        <v>0</v>
      </c>
      <c r="N116" s="12" t="str">
        <f aca="false">IF(A116="","",IFERROR(INDEX(Events!$F$2:$F$67,MATCH(A116,Events!$A$2:$A$67,0)),""))</f>
        <v>GER</v>
      </c>
      <c r="O116" s="12" t="n">
        <f aca="false">IF(AND(G116=1,K116="Yes",N116="POL"),IF(COUNTIFS($A$2:A116,A116,$D$2:D116,D116,$E$2:E116,E116,$G$2:G116,1)=1,1,0),0)</f>
        <v>0</v>
      </c>
      <c r="P116" s="12" t="n">
        <f aca="false">IF(AND(ISNUMBER(G116),K116="Yes",N116="POL"),IF(AND(G116&gt;=1,G116&lt;=3,COUNTIFS($A$2:A116,A116,$D$2:D116,D116,$E$2:E116,E116,$G$2:G116,G116)=1),1,0),0)</f>
        <v>0</v>
      </c>
    </row>
    <row r="117" customFormat="false" ht="15" hidden="false" customHeight="false" outlineLevel="0" collapsed="false">
      <c r="A117" s="12" t="s">
        <v>255</v>
      </c>
      <c r="B117" s="13" t="n">
        <v>46227</v>
      </c>
      <c r="C117" s="12" t="str">
        <f aca="false">IF(A117="","",IFERROR(INDEX(Events!$D$2:$D$67,MATCH(A117,Events!$A$2:$A$67,0)),"Unknown event ID"))</f>
        <v>Tour de Pologne Women</v>
      </c>
      <c r="D117" s="12" t="s">
        <v>377</v>
      </c>
      <c r="E117" s="12" t="s">
        <v>59</v>
      </c>
      <c r="F117" s="12" t="s">
        <v>69</v>
      </c>
      <c r="G117" s="12" t="n">
        <v>68</v>
      </c>
      <c r="H117" s="12" t="s">
        <v>366</v>
      </c>
      <c r="I117" s="12"/>
      <c r="J117" s="12" t="s">
        <v>71</v>
      </c>
      <c r="K117" s="12" t="str">
        <f aca="false">IF(A117="","",IFERROR(IF(INDEX(Events!$J$2:$J$67,MATCH(A117,Events!$A$2:$A$67,0))="Yes",IF(ISNUMBER(SEARCH("Criterium final",D117)),"No","Yes"),"No"),""))</f>
        <v>No</v>
      </c>
      <c r="L117" s="12"/>
      <c r="M117" s="12" t="n">
        <f aca="false">IF(OR(A117="",F117=""),0,IF(COUNTIFS($A$2:A117,A117,$F$2:F117,F117)=1,1,0))</f>
        <v>1</v>
      </c>
      <c r="N117" s="12" t="str">
        <f aca="false">IF(A117="","",IFERROR(INDEX(Events!$F$2:$F$67,MATCH(A117,Events!$A$2:$A$67,0)),""))</f>
        <v>POL</v>
      </c>
      <c r="O117" s="12" t="n">
        <f aca="false">IF(AND(G117=1,K117="Yes",N117="POL"),IF(COUNTIFS($A$2:A117,A117,$D$2:D117,D117,$E$2:E117,E117,$G$2:G117,1)=1,1,0),0)</f>
        <v>0</v>
      </c>
      <c r="P117" s="12" t="n">
        <f aca="false">IF(AND(ISNUMBER(G117),K117="Yes",N117="POL"),IF(AND(G117&gt;=1,G117&lt;=3,COUNTIFS($A$2:A117,A117,$D$2:D117,D117,$E$2:E117,E117,$G$2:G117,G117)=1),1,0),0)</f>
        <v>0</v>
      </c>
    </row>
    <row r="118" customFormat="false" ht="15" hidden="false" customHeight="false" outlineLevel="0" collapsed="false">
      <c r="A118" s="12" t="s">
        <v>255</v>
      </c>
      <c r="B118" s="13" t="n">
        <v>46228</v>
      </c>
      <c r="C118" s="12" t="str">
        <f aca="false">IF(A118="","",IFERROR(INDEX(Events!$D$2:$D$67,MATCH(A118,Events!$A$2:$A$67,0)),"Unknown event ID"))</f>
        <v>Tour de Pologne Women</v>
      </c>
      <c r="D118" s="12" t="s">
        <v>373</v>
      </c>
      <c r="E118" s="12" t="s">
        <v>59</v>
      </c>
      <c r="F118" s="12" t="s">
        <v>69</v>
      </c>
      <c r="G118" s="12" t="n">
        <v>17</v>
      </c>
      <c r="H118" s="12" t="s">
        <v>366</v>
      </c>
      <c r="I118" s="12"/>
      <c r="J118" s="12" t="s">
        <v>71</v>
      </c>
      <c r="K118" s="12" t="str">
        <f aca="false">IF(A118="","",IFERROR(IF(INDEX(Events!$J$2:$J$67,MATCH(A118,Events!$A$2:$A$67,0))="Yes",IF(ISNUMBER(SEARCH("Criterium final",D118)),"No","Yes"),"No"),""))</f>
        <v>No</v>
      </c>
      <c r="L118" s="12"/>
      <c r="M118" s="12" t="n">
        <f aca="false">IF(OR(A118="",F118=""),0,IF(COUNTIFS($A$2:A118,A118,$F$2:F118,F118)=1,1,0))</f>
        <v>0</v>
      </c>
      <c r="N118" s="12" t="str">
        <f aca="false">IF(A118="","",IFERROR(INDEX(Events!$F$2:$F$67,MATCH(A118,Events!$A$2:$A$67,0)),""))</f>
        <v>POL</v>
      </c>
      <c r="O118" s="12" t="n">
        <f aca="false">IF(AND(G118=1,K118="Yes",N118="POL"),IF(COUNTIFS($A$2:A118,A118,$D$2:D118,D118,$E$2:E118,E118,$G$2:G118,1)=1,1,0),0)</f>
        <v>0</v>
      </c>
      <c r="P118" s="12" t="n">
        <f aca="false">IF(AND(ISNUMBER(G118),K118="Yes",N118="POL"),IF(AND(G118&gt;=1,G118&lt;=3,COUNTIFS($A$2:A118,A118,$D$2:D118,D118,$E$2:E118,E118,$G$2:G118,G118)=1),1,0),0)</f>
        <v>0</v>
      </c>
    </row>
    <row r="119" customFormat="false" ht="15" hidden="false" customHeight="false" outlineLevel="0" collapsed="false">
      <c r="A119" s="12" t="s">
        <v>255</v>
      </c>
      <c r="B119" s="13" t="n">
        <v>46229</v>
      </c>
      <c r="C119" s="12" t="str">
        <f aca="false">IF(A119="","",IFERROR(INDEX(Events!$D$2:$D$67,MATCH(A119,Events!$A$2:$A$67,0)),"Unknown event ID"))</f>
        <v>Tour de Pologne Women</v>
      </c>
      <c r="D119" s="12" t="s">
        <v>374</v>
      </c>
      <c r="E119" s="12" t="s">
        <v>59</v>
      </c>
      <c r="F119" s="12" t="s">
        <v>69</v>
      </c>
      <c r="G119" s="12" t="n">
        <v>41</v>
      </c>
      <c r="H119" s="12" t="s">
        <v>366</v>
      </c>
      <c r="I119" s="12"/>
      <c r="J119" s="12" t="s">
        <v>71</v>
      </c>
      <c r="K119" s="12" t="str">
        <f aca="false">IF(A119="","",IFERROR(IF(INDEX(Events!$J$2:$J$67,MATCH(A119,Events!$A$2:$A$67,0))="Yes",IF(ISNUMBER(SEARCH("Criterium final",D119)),"No","Yes"),"No"),""))</f>
        <v>No</v>
      </c>
      <c r="L119" s="12"/>
      <c r="M119" s="12" t="n">
        <f aca="false">IF(OR(A119="",F119=""),0,IF(COUNTIFS($A$2:A119,A119,$F$2:F119,F119)=1,1,0))</f>
        <v>0</v>
      </c>
      <c r="N119" s="12" t="str">
        <f aca="false">IF(A119="","",IFERROR(INDEX(Events!$F$2:$F$67,MATCH(A119,Events!$A$2:$A$67,0)),""))</f>
        <v>POL</v>
      </c>
      <c r="O119" s="12" t="n">
        <f aca="false">IF(AND(G119=1,K119="Yes",N119="POL"),IF(COUNTIFS($A$2:A119,A119,$D$2:D119,D119,$E$2:E119,E119,$G$2:G119,1)=1,1,0),0)</f>
        <v>0</v>
      </c>
      <c r="P119" s="12" t="n">
        <f aca="false">IF(AND(ISNUMBER(G119),K119="Yes",N119="POL"),IF(AND(G119&gt;=1,G119&lt;=3,COUNTIFS($A$2:A119,A119,$D$2:D119,D119,$E$2:E119,E119,$G$2:G119,G119)=1),1,0),0)</f>
        <v>0</v>
      </c>
    </row>
    <row r="120" customFormat="false" ht="15" hidden="false" customHeight="false" outlineLevel="0" collapsed="false">
      <c r="A120" s="12" t="s">
        <v>255</v>
      </c>
      <c r="B120" s="13" t="n">
        <v>46229</v>
      </c>
      <c r="C120" s="12" t="str">
        <f aca="false">IF(A120="","",IFERROR(INDEX(Events!$D$2:$D$67,MATCH(A120,Events!$A$2:$A$67,0)),"Unknown event ID"))</f>
        <v>Tour de Pologne Women</v>
      </c>
      <c r="D120" s="12" t="s">
        <v>376</v>
      </c>
      <c r="E120" s="12" t="s">
        <v>59</v>
      </c>
      <c r="F120" s="12" t="s">
        <v>69</v>
      </c>
      <c r="G120" s="12" t="n">
        <v>64</v>
      </c>
      <c r="H120" s="12" t="s">
        <v>366</v>
      </c>
      <c r="I120" s="12"/>
      <c r="J120" s="12" t="s">
        <v>71</v>
      </c>
      <c r="K120" s="12" t="str">
        <f aca="false">IF(A120="","",IFERROR(IF(INDEX(Events!$J$2:$J$67,MATCH(A120,Events!$A$2:$A$67,0))="Yes",IF(ISNUMBER(SEARCH("Criterium final",D120)),"No","Yes"),"No"),""))</f>
        <v>No</v>
      </c>
      <c r="L120" s="12"/>
      <c r="M120" s="12" t="n">
        <f aca="false">IF(OR(A120="",F120=""),0,IF(COUNTIFS($A$2:A120,A120,$F$2:F120,F120)=1,1,0))</f>
        <v>0</v>
      </c>
      <c r="N120" s="12" t="str">
        <f aca="false">IF(A120="","",IFERROR(INDEX(Events!$F$2:$F$67,MATCH(A120,Events!$A$2:$A$67,0)),""))</f>
        <v>POL</v>
      </c>
      <c r="O120" s="12" t="n">
        <f aca="false">IF(AND(G120=1,K120="Yes",N120="POL"),IF(COUNTIFS($A$2:A120,A120,$D$2:D120,D120,$E$2:E120,E120,$G$2:G120,1)=1,1,0),0)</f>
        <v>0</v>
      </c>
      <c r="P120" s="12" t="n">
        <f aca="false">IF(AND(ISNUMBER(G120),K120="Yes",N120="POL"),IF(AND(G120&gt;=1,G120&lt;=3,COUNTIFS($A$2:A120,A120,$D$2:D120,D120,$E$2:E120,E120,$G$2:G120,G120)=1),1,0),0)</f>
        <v>0</v>
      </c>
    </row>
    <row r="121" customFormat="false" ht="15" hidden="false" customHeight="false" outlineLevel="0" collapsed="false">
      <c r="A121" s="12" t="s">
        <v>270</v>
      </c>
      <c r="B121" s="13" t="n">
        <v>46235</v>
      </c>
      <c r="C121" s="12" t="str">
        <f aca="false">IF(A121="","",IFERROR(INDEX(Events!$D$2:$D$67,MATCH(A121,Events!$A$2:$A$67,0)),"Unknown event ID"))</f>
        <v>Polish Elite Track Championships</v>
      </c>
      <c r="D121" s="12" t="s">
        <v>369</v>
      </c>
      <c r="E121" s="12" t="s">
        <v>59</v>
      </c>
      <c r="F121" s="12" t="s">
        <v>69</v>
      </c>
      <c r="G121" s="12" t="n">
        <v>1</v>
      </c>
      <c r="H121" s="12" t="s">
        <v>366</v>
      </c>
      <c r="I121" s="12" t="s">
        <v>413</v>
      </c>
      <c r="J121" s="12" t="s">
        <v>379</v>
      </c>
      <c r="K121" s="12" t="str">
        <f aca="false">IF(A121="","",IFERROR(IF(INDEX(Events!$J$2:$J$67,MATCH(A121,Events!$A$2:$A$67,0))="Yes",IF(ISNUMBER(SEARCH("Criterium final",D121)),"No","Yes"),"No"),""))</f>
        <v>Yes</v>
      </c>
      <c r="L121" s="12"/>
      <c r="M121" s="12" t="n">
        <f aca="false">IF(OR(A121="",F121=""),0,IF(COUNTIFS($A$2:A121,A121,$F$2:F121,F121)=1,1,0))</f>
        <v>1</v>
      </c>
      <c r="N121" s="12" t="str">
        <f aca="false">IF(A121="","",IFERROR(INDEX(Events!$F$2:$F$67,MATCH(A121,Events!$A$2:$A$67,0)),""))</f>
        <v>POL</v>
      </c>
      <c r="O121" s="12" t="n">
        <f aca="false">IF(AND(G121=1,K121="Yes",N121="POL"),IF(COUNTIFS($A$2:A121,A121,$D$2:D121,D121,$E$2:E121,E121,$G$2:G121,1)=1,1,0),0)</f>
        <v>0</v>
      </c>
      <c r="P121" s="12" t="n">
        <f aca="false">IF(AND(ISNUMBER(G121),K121="Yes",N121="POL"),IF(AND(G121&gt;=1,G121&lt;=3,COUNTIFS($A$2:A121,A121,$D$2:D121,D121,$E$2:E121,E121,$G$2:G121,G121)=1),1,0),0)</f>
        <v>0</v>
      </c>
    </row>
    <row r="122" customFormat="false" ht="15" hidden="false" customHeight="false" outlineLevel="0" collapsed="false">
      <c r="A122" s="12" t="s">
        <v>270</v>
      </c>
      <c r="B122" s="13" t="n">
        <v>46236</v>
      </c>
      <c r="C122" s="12" t="str">
        <f aca="false">IF(A122="","",IFERROR(INDEX(Events!$D$2:$D$67,MATCH(A122,Events!$A$2:$A$67,0)),"Unknown event ID"))</f>
        <v>Polish Elite Track Championships</v>
      </c>
      <c r="D122" s="12" t="s">
        <v>371</v>
      </c>
      <c r="E122" s="12" t="s">
        <v>59</v>
      </c>
      <c r="F122" s="12" t="s">
        <v>69</v>
      </c>
      <c r="G122" s="12" t="n">
        <v>1</v>
      </c>
      <c r="H122" s="12" t="s">
        <v>366</v>
      </c>
      <c r="I122" s="12"/>
      <c r="J122" s="12" t="s">
        <v>381</v>
      </c>
      <c r="K122" s="12" t="str">
        <f aca="false">IF(A122="","",IFERROR(IF(INDEX(Events!$J$2:$J$67,MATCH(A122,Events!$A$2:$A$67,0))="Yes",IF(ISNUMBER(SEARCH("Criterium final",D122)),"No","Yes"),"No"),""))</f>
        <v>Yes</v>
      </c>
      <c r="L122" s="12"/>
      <c r="M122" s="12" t="n">
        <f aca="false">IF(OR(A122="",F122=""),0,IF(COUNTIFS($A$2:A122,A122,$F$2:F122,F122)=1,1,0))</f>
        <v>0</v>
      </c>
      <c r="N122" s="12" t="str">
        <f aca="false">IF(A122="","",IFERROR(INDEX(Events!$F$2:$F$67,MATCH(A122,Events!$A$2:$A$67,0)),""))</f>
        <v>POL</v>
      </c>
      <c r="O122" s="12" t="n">
        <f aca="false">IF(AND(G122=1,K122="Yes",N122="POL"),IF(COUNTIFS($A$2:A122,A122,$D$2:D122,D122,$E$2:E122,E122,$G$2:G122,1)=1,1,0),0)</f>
        <v>1</v>
      </c>
      <c r="P122" s="12" t="n">
        <f aca="false">IF(AND(ISNUMBER(G122),K122="Yes",N122="POL"),IF(AND(G122&gt;=1,G122&lt;=3,COUNTIFS($A$2:A122,A122,$D$2:D122,D122,$E$2:E122,E122,$G$2:G122,G122)=1),1,0),0)</f>
        <v>1</v>
      </c>
    </row>
    <row r="123" customFormat="false" ht="15" hidden="false" customHeight="false" outlineLevel="0" collapsed="false">
      <c r="A123" s="12" t="s">
        <v>270</v>
      </c>
      <c r="B123" s="13" t="n">
        <v>46237</v>
      </c>
      <c r="C123" s="12" t="str">
        <f aca="false">IF(A123="","",IFERROR(INDEX(Events!$D$2:$D$67,MATCH(A123,Events!$A$2:$A$67,0)),"Unknown event ID"))</f>
        <v>Polish Elite Track Championships</v>
      </c>
      <c r="D123" s="12" t="s">
        <v>414</v>
      </c>
      <c r="E123" s="12" t="s">
        <v>59</v>
      </c>
      <c r="F123" s="12" t="s">
        <v>69</v>
      </c>
      <c r="G123" s="12" t="n">
        <v>1</v>
      </c>
      <c r="H123" s="12" t="s">
        <v>366</v>
      </c>
      <c r="I123" s="12"/>
      <c r="J123" s="12" t="s">
        <v>383</v>
      </c>
      <c r="K123" s="12" t="str">
        <f aca="false">IF(A123="","",IFERROR(IF(INDEX(Events!$J$2:$J$67,MATCH(A123,Events!$A$2:$A$67,0))="Yes",IF(ISNUMBER(SEARCH("Criterium final",D123)),"No","Yes"),"No"),""))</f>
        <v>Yes</v>
      </c>
      <c r="L123" s="12"/>
      <c r="M123" s="12" t="n">
        <f aca="false">IF(OR(A123="",F123=""),0,IF(COUNTIFS($A$2:A123,A123,$F$2:F123,F123)=1,1,0))</f>
        <v>0</v>
      </c>
      <c r="N123" s="12" t="str">
        <f aca="false">IF(A123="","",IFERROR(INDEX(Events!$F$2:$F$67,MATCH(A123,Events!$A$2:$A$67,0)),""))</f>
        <v>POL</v>
      </c>
      <c r="O123" s="12" t="n">
        <f aca="false">IF(AND(G123=1,K123="Yes",N123="POL"),IF(COUNTIFS($A$2:A123,A123,$D$2:D123,D123,$E$2:E123,E123,$G$2:G123,1)=1,1,0),0)</f>
        <v>1</v>
      </c>
      <c r="P123" s="12" t="n">
        <f aca="false">IF(AND(ISNUMBER(G123),K123="Yes",N123="POL"),IF(AND(G123&gt;=1,G123&lt;=3,COUNTIFS($A$2:A123,A123,$D$2:D123,D123,$E$2:E123,E123,$G$2:G123,G123)=1),1,0),0)</f>
        <v>1</v>
      </c>
    </row>
    <row r="124" customFormat="false" ht="15" hidden="false" customHeight="false" outlineLevel="0" collapsed="false">
      <c r="A124" s="12" t="s">
        <v>270</v>
      </c>
      <c r="B124" s="13" t="n">
        <v>46237</v>
      </c>
      <c r="C124" s="12" t="str">
        <f aca="false">IF(A124="","",IFERROR(INDEX(Events!$D$2:$D$67,MATCH(A124,Events!$A$2:$A$67,0)),"Unknown event ID"))</f>
        <v>Polish Elite Track Championships</v>
      </c>
      <c r="D124" s="12" t="s">
        <v>370</v>
      </c>
      <c r="E124" s="12" t="s">
        <v>59</v>
      </c>
      <c r="F124" s="12" t="s">
        <v>69</v>
      </c>
      <c r="G124" s="12" t="n">
        <v>2</v>
      </c>
      <c r="H124" s="12" t="s">
        <v>366</v>
      </c>
      <c r="I124" s="12" t="s">
        <v>415</v>
      </c>
      <c r="J124" s="12" t="s">
        <v>383</v>
      </c>
      <c r="K124" s="12" t="str">
        <f aca="false">IF(A124="","",IFERROR(IF(INDEX(Events!$J$2:$J$67,MATCH(A124,Events!$A$2:$A$67,0))="Yes",IF(ISNUMBER(SEARCH("Criterium final",D124)),"No","Yes"),"No"),""))</f>
        <v>Yes</v>
      </c>
      <c r="L124" s="12"/>
      <c r="M124" s="12" t="n">
        <f aca="false">IF(OR(A124="",F124=""),0,IF(COUNTIFS($A$2:A124,A124,$F$2:F124,F124)=1,1,0))</f>
        <v>0</v>
      </c>
      <c r="N124" s="12" t="str">
        <f aca="false">IF(A124="","",IFERROR(INDEX(Events!$F$2:$F$67,MATCH(A124,Events!$A$2:$A$67,0)),""))</f>
        <v>POL</v>
      </c>
      <c r="O124" s="12" t="n">
        <f aca="false">IF(AND(G124=1,K124="Yes",N124="POL"),IF(COUNTIFS($A$2:A124,A124,$D$2:D124,D124,$E$2:E124,E124,$G$2:G124,1)=1,1,0),0)</f>
        <v>0</v>
      </c>
      <c r="P124" s="12" t="n">
        <f aca="false">IF(AND(ISNUMBER(G124),K124="Yes",N124="POL"),IF(AND(G124&gt;=1,G124&lt;=3,COUNTIFS($A$2:A124,A124,$D$2:D124,D124,$E$2:E124,E124,$G$2:G124,G124)=1),1,0),0)</f>
        <v>0</v>
      </c>
    </row>
    <row r="125" customFormat="false" ht="15" hidden="false" customHeight="false" outlineLevel="0" collapsed="false">
      <c r="A125" s="12" t="s">
        <v>273</v>
      </c>
      <c r="B125" s="13" t="n">
        <v>46247</v>
      </c>
      <c r="C125" s="12" t="str">
        <f aca="false">IF(A125="","",IFERROR(INDEX(Events!$D$2:$D$67,MATCH(A125,Events!$A$2:$A$67,0)),"Unknown event ID"))</f>
        <v>Sowiogórski Tour</v>
      </c>
      <c r="D125" s="12" t="s">
        <v>416</v>
      </c>
      <c r="E125" s="12" t="s">
        <v>59</v>
      </c>
      <c r="F125" s="12" t="s">
        <v>69</v>
      </c>
      <c r="G125" s="12" t="n">
        <v>1</v>
      </c>
      <c r="H125" s="12" t="s">
        <v>366</v>
      </c>
      <c r="I125" s="12"/>
      <c r="J125" s="12" t="s">
        <v>417</v>
      </c>
      <c r="K125" s="12" t="str">
        <f aca="false">IF(A125="","",IFERROR(IF(INDEX(Events!$J$2:$J$67,MATCH(A125,Events!$A$2:$A$67,0))="Yes",IF(ISNUMBER(SEARCH("Criterium final",D125)),"No","Yes"),"No"),""))</f>
        <v>No</v>
      </c>
      <c r="L125" s="12"/>
      <c r="M125" s="12" t="n">
        <f aca="false">IF(OR(A125="",F125=""),0,IF(COUNTIFS($A$2:A125,A125,$F$2:F125,F125)=1,1,0))</f>
        <v>1</v>
      </c>
      <c r="N125" s="12" t="str">
        <f aca="false">IF(A125="","",IFERROR(INDEX(Events!$F$2:$F$67,MATCH(A125,Events!$A$2:$A$67,0)),""))</f>
        <v>POL</v>
      </c>
      <c r="O125" s="12" t="n">
        <f aca="false">IF(AND(G125=1,K125="Yes",N125="POL"),IF(COUNTIFS($A$2:A125,A125,$D$2:D125,D125,$E$2:E125,E125,$G$2:G125,1)=1,1,0),0)</f>
        <v>0</v>
      </c>
      <c r="P125" s="12" t="n">
        <f aca="false">IF(AND(ISNUMBER(G125),K125="Yes",N125="POL"),IF(AND(G125&gt;=1,G125&lt;=3,COUNTIFS($A$2:A125,A125,$D$2:D125,D125,$E$2:E125,E125,$G$2:G125,G125)=1),1,0),0)</f>
        <v>0</v>
      </c>
    </row>
    <row r="126" customFormat="false" ht="15" hidden="false" customHeight="false" outlineLevel="0" collapsed="false">
      <c r="A126" s="12" t="s">
        <v>273</v>
      </c>
      <c r="B126" s="13" t="n">
        <v>46248</v>
      </c>
      <c r="C126" s="12" t="str">
        <f aca="false">IF(A126="","",IFERROR(INDEX(Events!$D$2:$D$67,MATCH(A126,Events!$A$2:$A$67,0)),"Unknown event ID"))</f>
        <v>Sowiogórski Tour</v>
      </c>
      <c r="D126" s="12" t="s">
        <v>373</v>
      </c>
      <c r="E126" s="12" t="s">
        <v>59</v>
      </c>
      <c r="F126" s="12" t="s">
        <v>69</v>
      </c>
      <c r="G126" s="12" t="n">
        <v>1</v>
      </c>
      <c r="H126" s="12" t="s">
        <v>366</v>
      </c>
      <c r="I126" s="12"/>
      <c r="J126" s="12" t="s">
        <v>418</v>
      </c>
      <c r="K126" s="12" t="str">
        <f aca="false">IF(A126="","",IFERROR(IF(INDEX(Events!$J$2:$J$67,MATCH(A126,Events!$A$2:$A$67,0))="Yes",IF(ISNUMBER(SEARCH("Criterium final",D126)),"No","Yes"),"No"),""))</f>
        <v>No</v>
      </c>
      <c r="L126" s="12"/>
      <c r="M126" s="12" t="n">
        <f aca="false">IF(OR(A126="",F126=""),0,IF(COUNTIFS($A$2:A126,A126,$F$2:F126,F126)=1,1,0))</f>
        <v>0</v>
      </c>
      <c r="N126" s="12" t="str">
        <f aca="false">IF(A126="","",IFERROR(INDEX(Events!$F$2:$F$67,MATCH(A126,Events!$A$2:$A$67,0)),""))</f>
        <v>POL</v>
      </c>
      <c r="O126" s="12" t="n">
        <f aca="false">IF(AND(G126=1,K126="Yes",N126="POL"),IF(COUNTIFS($A$2:A126,A126,$D$2:D126,D126,$E$2:E126,E126,$G$2:G126,1)=1,1,0),0)</f>
        <v>0</v>
      </c>
      <c r="P126" s="12" t="n">
        <f aca="false">IF(AND(ISNUMBER(G126),K126="Yes",N126="POL"),IF(AND(G126&gt;=1,G126&lt;=3,COUNTIFS($A$2:A126,A126,$D$2:D126,D126,$E$2:E126,E126,$G$2:G126,G126)=1),1,0),0)</f>
        <v>0</v>
      </c>
    </row>
    <row r="127" customFormat="false" ht="15" hidden="false" customHeight="false" outlineLevel="0" collapsed="false">
      <c r="A127" s="12" t="s">
        <v>273</v>
      </c>
      <c r="B127" s="13" t="n">
        <v>46249</v>
      </c>
      <c r="C127" s="12" t="str">
        <f aca="false">IF(A127="","",IFERROR(INDEX(Events!$D$2:$D$67,MATCH(A127,Events!$A$2:$A$67,0)),"Unknown event ID"))</f>
        <v>Sowiogórski Tour</v>
      </c>
      <c r="D127" s="12" t="s">
        <v>419</v>
      </c>
      <c r="E127" s="12" t="s">
        <v>59</v>
      </c>
      <c r="F127" s="12" t="s">
        <v>69</v>
      </c>
      <c r="G127" s="12" t="n">
        <v>1</v>
      </c>
      <c r="H127" s="12" t="s">
        <v>366</v>
      </c>
      <c r="I127" s="12"/>
      <c r="J127" s="12" t="s">
        <v>420</v>
      </c>
      <c r="K127" s="12" t="str">
        <f aca="false">IF(A127="","",IFERROR(IF(INDEX(Events!$J$2:$J$67,MATCH(A127,Events!$A$2:$A$67,0))="Yes",IF(ISNUMBER(SEARCH("Criterium final",D127)),"No","Yes"),"No"),""))</f>
        <v>No</v>
      </c>
      <c r="L127" s="12"/>
      <c r="M127" s="12" t="n">
        <f aca="false">IF(OR(A127="",F127=""),0,IF(COUNTIFS($A$2:A127,A127,$F$2:F127,F127)=1,1,0))</f>
        <v>0</v>
      </c>
      <c r="N127" s="12" t="str">
        <f aca="false">IF(A127="","",IFERROR(INDEX(Events!$F$2:$F$67,MATCH(A127,Events!$A$2:$A$67,0)),""))</f>
        <v>POL</v>
      </c>
      <c r="O127" s="12" t="n">
        <f aca="false">IF(AND(G127=1,K127="Yes",N127="POL"),IF(COUNTIFS($A$2:A127,A127,$D$2:D127,D127,$E$2:E127,E127,$G$2:G127,1)=1,1,0),0)</f>
        <v>0</v>
      </c>
      <c r="P127" s="12" t="n">
        <f aca="false">IF(AND(ISNUMBER(G127),K127="Yes",N127="POL"),IF(AND(G127&gt;=1,G127&lt;=3,COUNTIFS($A$2:A127,A127,$D$2:D127,D127,$E$2:E127,E127,$G$2:G127,G127)=1),1,0),0)</f>
        <v>0</v>
      </c>
    </row>
    <row r="128" customFormat="false" ht="15" hidden="false" customHeight="false" outlineLevel="0" collapsed="false">
      <c r="A128" s="12" t="s">
        <v>273</v>
      </c>
      <c r="B128" s="13" t="n">
        <v>46250</v>
      </c>
      <c r="C128" s="12" t="str">
        <f aca="false">IF(A128="","",IFERROR(INDEX(Events!$D$2:$D$67,MATCH(A128,Events!$A$2:$A$67,0)),"Unknown event ID"))</f>
        <v>Sowiogórski Tour</v>
      </c>
      <c r="D128" s="12" t="s">
        <v>375</v>
      </c>
      <c r="E128" s="12" t="s">
        <v>59</v>
      </c>
      <c r="F128" s="12" t="s">
        <v>69</v>
      </c>
      <c r="G128" s="12" t="n">
        <v>1</v>
      </c>
      <c r="H128" s="12" t="s">
        <v>366</v>
      </c>
      <c r="I128" s="12"/>
      <c r="J128" s="12" t="s">
        <v>421</v>
      </c>
      <c r="K128" s="12" t="str">
        <f aca="false">IF(A128="","",IFERROR(IF(INDEX(Events!$J$2:$J$67,MATCH(A128,Events!$A$2:$A$67,0))="Yes",IF(ISNUMBER(SEARCH("Criterium final",D128)),"No","Yes"),"No"),""))</f>
        <v>No</v>
      </c>
      <c r="L128" s="12"/>
      <c r="M128" s="12" t="n">
        <f aca="false">IF(OR(A128="",F128=""),0,IF(COUNTIFS($A$2:A128,A128,$F$2:F128,F128)=1,1,0))</f>
        <v>0</v>
      </c>
      <c r="N128" s="12" t="str">
        <f aca="false">IF(A128="","",IFERROR(INDEX(Events!$F$2:$F$67,MATCH(A128,Events!$A$2:$A$67,0)),""))</f>
        <v>POL</v>
      </c>
      <c r="O128" s="12" t="n">
        <f aca="false">IF(AND(G128=1,K128="Yes",N128="POL"),IF(COUNTIFS($A$2:A128,A128,$D$2:D128,D128,$E$2:E128,E128,$G$2:G128,1)=1,1,0),0)</f>
        <v>0</v>
      </c>
      <c r="P128" s="12" t="n">
        <f aca="false">IF(AND(ISNUMBER(G128),K128="Yes",N128="POL"),IF(AND(G128&gt;=1,G128&lt;=3,COUNTIFS($A$2:A128,A128,$D$2:D128,D128,$E$2:E128,E128,$G$2:G128,G128)=1),1,0),0)</f>
        <v>0</v>
      </c>
    </row>
    <row r="129" customFormat="false" ht="15" hidden="false" customHeight="false" outlineLevel="0" collapsed="false">
      <c r="A129" s="12" t="s">
        <v>273</v>
      </c>
      <c r="B129" s="13" t="n">
        <v>46250</v>
      </c>
      <c r="C129" s="12" t="str">
        <f aca="false">IF(A129="","",IFERROR(INDEX(Events!$D$2:$D$67,MATCH(A129,Events!$A$2:$A$67,0)),"Unknown event ID"))</f>
        <v>Sowiogórski Tour</v>
      </c>
      <c r="D129" s="12" t="s">
        <v>376</v>
      </c>
      <c r="E129" s="12" t="s">
        <v>59</v>
      </c>
      <c r="F129" s="12" t="s">
        <v>69</v>
      </c>
      <c r="G129" s="12" t="n">
        <v>1</v>
      </c>
      <c r="H129" s="12" t="s">
        <v>366</v>
      </c>
      <c r="I129" s="12" t="s">
        <v>422</v>
      </c>
      <c r="J129" s="12" t="s">
        <v>421</v>
      </c>
      <c r="K129" s="12" t="str">
        <f aca="false">IF(A129="","",IFERROR(IF(INDEX(Events!$J$2:$J$67,MATCH(A129,Events!$A$2:$A$67,0))="Yes",IF(ISNUMBER(SEARCH("Criterium final",D129)),"No","Yes"),"No"),""))</f>
        <v>No</v>
      </c>
      <c r="L129" s="12"/>
      <c r="M129" s="12" t="n">
        <f aca="false">IF(OR(A129="",F129=""),0,IF(COUNTIFS($A$2:A129,A129,$F$2:F129,F129)=1,1,0))</f>
        <v>0</v>
      </c>
      <c r="N129" s="12" t="str">
        <f aca="false">IF(A129="","",IFERROR(INDEX(Events!$F$2:$F$67,MATCH(A129,Events!$A$2:$A$67,0)),""))</f>
        <v>POL</v>
      </c>
      <c r="O129" s="12" t="n">
        <f aca="false">IF(AND(G129=1,K129="Yes",N129="POL"),IF(COUNTIFS($A$2:A129,A129,$D$2:D129,D129,$E$2:E129,E129,$G$2:G129,1)=1,1,0),0)</f>
        <v>0</v>
      </c>
      <c r="P129" s="12" t="n">
        <f aca="false">IF(AND(ISNUMBER(G129),K129="Yes",N129="POL"),IF(AND(G129&gt;=1,G129&lt;=3,COUNTIFS($A$2:A129,A129,$D$2:D129,D129,$E$2:E129,E129,$G$2:G129,G129)=1),1,0),0)</f>
        <v>0</v>
      </c>
    </row>
    <row r="130" customFormat="false" ht="15" hidden="false" customHeight="false" outlineLevel="0" collapsed="false">
      <c r="A130" s="12" t="s">
        <v>282</v>
      </c>
      <c r="B130" s="13" t="n">
        <v>46248</v>
      </c>
      <c r="C130" s="12" t="str">
        <f aca="false">IF(A130="","",IFERROR(INDEX(Events!$D$2:$D$67,MATCH(A130,Events!$A$2:$A$67,0)),"Unknown event ID"))</f>
        <v>Górskie Szosowe Mistrzostwa Polski (mountain road champs)</v>
      </c>
      <c r="D130" s="12" t="s">
        <v>423</v>
      </c>
      <c r="E130" s="12" t="s">
        <v>59</v>
      </c>
      <c r="F130" s="12" t="s">
        <v>69</v>
      </c>
      <c r="G130" s="12" t="n">
        <v>1</v>
      </c>
      <c r="H130" s="12" t="s">
        <v>366</v>
      </c>
      <c r="I130" s="12" t="s">
        <v>424</v>
      </c>
      <c r="J130" s="12" t="s">
        <v>418</v>
      </c>
      <c r="K130" s="12" t="str">
        <f aca="false">IF(A130="","",IFERROR(IF(INDEX(Events!$J$2:$J$67,MATCH(A130,Events!$A$2:$A$67,0))="Yes",IF(ISNUMBER(SEARCH("Criterium final",D130)),"No","Yes"),"No"),""))</f>
        <v>Yes</v>
      </c>
      <c r="L130" s="12"/>
      <c r="M130" s="12" t="n">
        <f aca="false">IF(OR(A130="",F130=""),0,IF(COUNTIFS($A$2:A130,A130,$F$2:F130,F130)=1,1,0))</f>
        <v>1</v>
      </c>
      <c r="N130" s="12" t="str">
        <f aca="false">IF(A130="","",IFERROR(INDEX(Events!$F$2:$F$67,MATCH(A130,Events!$A$2:$A$67,0)),""))</f>
        <v>POL</v>
      </c>
      <c r="O130" s="12" t="n">
        <f aca="false">IF(AND(G130=1,K130="Yes",N130="POL"),IF(COUNTIFS($A$2:A130,A130,$D$2:D130,D130,$E$2:E130,E130,$G$2:G130,1)=1,1,0),0)</f>
        <v>1</v>
      </c>
      <c r="P130" s="12" t="n">
        <f aca="false">IF(AND(ISNUMBER(G130),K130="Yes",N130="POL"),IF(AND(G130&gt;=1,G130&lt;=3,COUNTIFS($A$2:A130,A130,$D$2:D130,D130,$E$2:E130,E130,$G$2:G130,G130)=1),1,0),0)</f>
        <v>1</v>
      </c>
    </row>
    <row r="131" customFormat="false" ht="15" hidden="false" customHeight="false" outlineLevel="0" collapsed="false">
      <c r="A131" s="12" t="s">
        <v>282</v>
      </c>
      <c r="B131" s="13" t="n">
        <v>46248</v>
      </c>
      <c r="C131" s="12" t="str">
        <f aca="false">IF(A131="","",IFERROR(INDEX(Events!$D$2:$D$67,MATCH(A131,Events!$A$2:$A$67,0)),"Unknown event ID"))</f>
        <v>Górskie Szosowe Mistrzostwa Polski (mountain road champs)</v>
      </c>
      <c r="D131" s="12" t="s">
        <v>423</v>
      </c>
      <c r="E131" s="12" t="s">
        <v>66</v>
      </c>
      <c r="F131" s="12" t="s">
        <v>69</v>
      </c>
      <c r="G131" s="12" t="n">
        <v>1</v>
      </c>
      <c r="H131" s="12" t="s">
        <v>366</v>
      </c>
      <c r="I131" s="12" t="s">
        <v>424</v>
      </c>
      <c r="J131" s="12" t="s">
        <v>418</v>
      </c>
      <c r="K131" s="12" t="str">
        <f aca="false">IF(A131="","",IFERROR(IF(INDEX(Events!$J$2:$J$67,MATCH(A131,Events!$A$2:$A$67,0))="Yes",IF(ISNUMBER(SEARCH("Criterium final",D131)),"No","Yes"),"No"),""))</f>
        <v>Yes</v>
      </c>
      <c r="L131" s="12"/>
      <c r="M131" s="12" t="n">
        <f aca="false">IF(OR(A131="",F131=""),0,IF(COUNTIFS($A$2:A131,A131,$F$2:F131,F131)=1,1,0))</f>
        <v>0</v>
      </c>
      <c r="N131" s="12" t="str">
        <f aca="false">IF(A131="","",IFERROR(INDEX(Events!$F$2:$F$67,MATCH(A131,Events!$A$2:$A$67,0)),""))</f>
        <v>POL</v>
      </c>
      <c r="O131" s="12" t="n">
        <f aca="false">IF(AND(G131=1,K131="Yes",N131="POL"),IF(COUNTIFS($A$2:A131,A131,$D$2:D131,D131,$E$2:E131,E131,$G$2:G131,1)=1,1,0),0)</f>
        <v>1</v>
      </c>
      <c r="P131" s="12" t="n">
        <f aca="false">IF(AND(ISNUMBER(G131),K131="Yes",N131="POL"),IF(AND(G131&gt;=1,G131&lt;=3,COUNTIFS($A$2:A131,A131,$D$2:D131,D131,$E$2:E131,E131,$G$2:G131,G131)=1),1,0),0)</f>
        <v>1</v>
      </c>
    </row>
    <row r="132" customFormat="false" ht="15" hidden="false" customHeight="false" outlineLevel="0" collapsed="false">
      <c r="A132" s="12" t="s">
        <v>339</v>
      </c>
      <c r="B132" s="13" t="n">
        <v>46254</v>
      </c>
      <c r="C132" s="12" t="str">
        <f aca="false">IF(A132="","",IFERROR(INDEX(Events!$D$2:$D$67,MATCH(A132,Events!$A$2:$A$67,0)),"Unknown event ID"))</f>
        <v>GP Lucien Van Impe</v>
      </c>
      <c r="D132" s="12" t="s">
        <v>365</v>
      </c>
      <c r="E132" s="12" t="s">
        <v>59</v>
      </c>
      <c r="F132" s="12" t="s">
        <v>69</v>
      </c>
      <c r="G132" s="12" t="n">
        <v>35</v>
      </c>
      <c r="H132" s="12" t="s">
        <v>366</v>
      </c>
      <c r="I132" s="12"/>
      <c r="J132" s="12" t="s">
        <v>71</v>
      </c>
      <c r="K132" s="12" t="str">
        <f aca="false">IF(A132="","",IFERROR(IF(INDEX(Events!$J$2:$J$67,MATCH(A132,Events!$A$2:$A$67,0))="Yes",IF(ISNUMBER(SEARCH("Criterium final",D132)),"No","Yes"),"No"),""))</f>
        <v>No</v>
      </c>
      <c r="L132" s="12"/>
      <c r="M132" s="12" t="n">
        <f aca="false">IF(OR(A132="",F132=""),0,IF(COUNTIFS($A$2:A132,A132,$F$2:F132,F132)=1,1,0))</f>
        <v>1</v>
      </c>
      <c r="N132" s="12" t="str">
        <f aca="false">IF(A132="","",IFERROR(INDEX(Events!$F$2:$F$67,MATCH(A132,Events!$A$2:$A$67,0)),""))</f>
        <v>BEL</v>
      </c>
      <c r="O132" s="12" t="n">
        <f aca="false">IF(AND(G132=1,K132="Yes",N132="POL"),IF(COUNTIFS($A$2:A132,A132,$D$2:D132,D132,$E$2:E132,E132,$G$2:G132,1)=1,1,0),0)</f>
        <v>0</v>
      </c>
      <c r="P132" s="12" t="n">
        <f aca="false">IF(AND(ISNUMBER(G132),K132="Yes",N132="POL"),IF(AND(G132&gt;=1,G132&lt;=3,COUNTIFS($A$2:A132,A132,$D$2:D132,D132,$E$2:E132,E132,$G$2:G132,G132)=1),1,0),0)</f>
        <v>0</v>
      </c>
    </row>
    <row r="133" customFormat="false" ht="15" hidden="false" customHeight="false" outlineLevel="0" collapsed="false">
      <c r="A133" s="12" t="s">
        <v>341</v>
      </c>
      <c r="B133" s="13" t="n">
        <v>46255</v>
      </c>
      <c r="C133" s="12" t="str">
        <f aca="false">IF(A133="","",IFERROR(INDEX(Events!$D$2:$D$67,MATCH(A133,Events!$A$2:$A$67,0)),"Unknown event ID"))</f>
        <v>Konvert Kortrijk Koerse</v>
      </c>
      <c r="D133" s="12" t="s">
        <v>365</v>
      </c>
      <c r="E133" s="12" t="s">
        <v>59</v>
      </c>
      <c r="F133" s="12" t="s">
        <v>69</v>
      </c>
      <c r="G133" s="12"/>
      <c r="H133" s="12" t="s">
        <v>33</v>
      </c>
      <c r="I133" s="12"/>
      <c r="J133" s="12" t="s">
        <v>71</v>
      </c>
      <c r="K133" s="12" t="str">
        <f aca="false">IF(A133="","",IFERROR(IF(INDEX(Events!$J$2:$J$67,MATCH(A133,Events!$A$2:$A$67,0))="Yes",IF(ISNUMBER(SEARCH("Criterium final",D133)),"No","Yes"),"No"),""))</f>
        <v>No</v>
      </c>
      <c r="L133" s="12"/>
      <c r="M133" s="12" t="n">
        <f aca="false">IF(OR(A133="",F133=""),0,IF(COUNTIFS($A$2:A133,A133,$F$2:F133,F133)=1,1,0))</f>
        <v>1</v>
      </c>
      <c r="N133" s="12" t="str">
        <f aca="false">IF(A133="","",IFERROR(INDEX(Events!$F$2:$F$67,MATCH(A133,Events!$A$2:$A$67,0)),""))</f>
        <v>BEL</v>
      </c>
      <c r="O133" s="12" t="n">
        <f aca="false">IF(AND(G133=1,K133="Yes",N133="POL"),IF(COUNTIFS($A$2:A133,A133,$D$2:D133,D133,$E$2:E133,E133,$G$2:G133,1)=1,1,0),0)</f>
        <v>0</v>
      </c>
      <c r="P133" s="12" t="n">
        <f aca="false">IF(AND(ISNUMBER(G133),K133="Yes",N133="POL"),IF(AND(G133&gt;=1,G133&lt;=3,COUNTIFS($A$2:A133,A133,$D$2:D133,D133,$E$2:E133,E133,$G$2:G133,G133)=1),1,0),0)</f>
        <v>0</v>
      </c>
    </row>
    <row r="134" customFormat="false" ht="15" hidden="false" customHeight="false" outlineLevel="0" collapsed="false">
      <c r="A134" s="12" t="s">
        <v>289</v>
      </c>
      <c r="B134" s="13" t="n">
        <v>46277</v>
      </c>
      <c r="C134" s="12" t="str">
        <f aca="false">IF(A134="","",IFERROR(INDEX(Events!$D$2:$D$67,MATCH(A134,Events!$A$2:$A$67,0)),"Unknown event ID"))</f>
        <v>Polish Pairs &amp; Team Time Trial Championships</v>
      </c>
      <c r="D134" s="12" t="s">
        <v>405</v>
      </c>
      <c r="E134" s="12" t="s">
        <v>59</v>
      </c>
      <c r="F134" s="12" t="s">
        <v>69</v>
      </c>
      <c r="G134" s="12" t="n">
        <v>1</v>
      </c>
      <c r="H134" s="12" t="s">
        <v>366</v>
      </c>
      <c r="I134" s="12" t="s">
        <v>425</v>
      </c>
      <c r="J134" s="12" t="s">
        <v>406</v>
      </c>
      <c r="K134" s="12" t="str">
        <f aca="false">IF(A134="","",IFERROR(IF(INDEX(Events!$J$2:$J$67,MATCH(A134,Events!$A$2:$A$67,0))="Yes",IF(ISNUMBER(SEARCH("Criterium final",D134)),"No","Yes"),"No"),""))</f>
        <v>Yes</v>
      </c>
      <c r="L134" s="12"/>
      <c r="M134" s="12" t="n">
        <f aca="false">IF(OR(A134="",F134=""),0,IF(COUNTIFS($A$2:A134,A134,$F$2:F134,F134)=1,1,0))</f>
        <v>1</v>
      </c>
      <c r="N134" s="12" t="str">
        <f aca="false">IF(A134="","",IFERROR(INDEX(Events!$F$2:$F$67,MATCH(A134,Events!$A$2:$A$67,0)),""))</f>
        <v>POL</v>
      </c>
      <c r="O134" s="12" t="n">
        <f aca="false">IF(AND(G134=1,K134="Yes",N134="POL"),IF(COUNTIFS($A$2:A134,A134,$D$2:D134,D134,$E$2:E134,E134,$G$2:G134,1)=1,1,0),0)</f>
        <v>0</v>
      </c>
      <c r="P134" s="12" t="n">
        <f aca="false">IF(AND(ISNUMBER(G134),K134="Yes",N134="POL"),IF(AND(G134&gt;=1,G134&lt;=3,COUNTIFS($A$2:A134,A134,$D$2:D134,D134,$E$2:E134,E134,$G$2:G134,G134)=1),1,0),0)</f>
        <v>0</v>
      </c>
    </row>
    <row r="135" customFormat="false" ht="15" hidden="false" customHeight="false" outlineLevel="0" collapsed="false">
      <c r="A135" s="12" t="s">
        <v>289</v>
      </c>
      <c r="B135" s="13" t="n">
        <v>46277</v>
      </c>
      <c r="C135" s="12" t="str">
        <f aca="false">IF(A135="","",IFERROR(INDEX(Events!$D$2:$D$67,MATCH(A135,Events!$A$2:$A$67,0)),"Unknown event ID"))</f>
        <v>Polish Pairs &amp; Team Time Trial Championships</v>
      </c>
      <c r="D135" s="12" t="s">
        <v>405</v>
      </c>
      <c r="E135" s="12" t="s">
        <v>66</v>
      </c>
      <c r="F135" s="12" t="s">
        <v>69</v>
      </c>
      <c r="G135" s="12" t="n">
        <v>1</v>
      </c>
      <c r="H135" s="12" t="s">
        <v>366</v>
      </c>
      <c r="I135" s="12" t="s">
        <v>425</v>
      </c>
      <c r="J135" s="12" t="s">
        <v>406</v>
      </c>
      <c r="K135" s="12" t="str">
        <f aca="false">IF(A135="","",IFERROR(IF(INDEX(Events!$J$2:$J$67,MATCH(A135,Events!$A$2:$A$67,0))="Yes",IF(ISNUMBER(SEARCH("Criterium final",D135)),"No","Yes"),"No"),""))</f>
        <v>Yes</v>
      </c>
      <c r="L135" s="12"/>
      <c r="M135" s="12" t="n">
        <f aca="false">IF(OR(A135="",F135=""),0,IF(COUNTIFS($A$2:A135,A135,$F$2:F135,F135)=1,1,0))</f>
        <v>0</v>
      </c>
      <c r="N135" s="12" t="str">
        <f aca="false">IF(A135="","",IFERROR(INDEX(Events!$F$2:$F$67,MATCH(A135,Events!$A$2:$A$67,0)),""))</f>
        <v>POL</v>
      </c>
      <c r="O135" s="12" t="n">
        <f aca="false">IF(AND(G135=1,K135="Yes",N135="POL"),IF(COUNTIFS($A$2:A135,A135,$D$2:D135,D135,$E$2:E135,E135,$G$2:G135,1)=1,1,0),0)</f>
        <v>0</v>
      </c>
      <c r="P135" s="12" t="n">
        <f aca="false">IF(AND(ISNUMBER(G135),K135="Yes",N135="POL"),IF(AND(G135&gt;=1,G135&lt;=3,COUNTIFS($A$2:A135,A135,$D$2:D135,D135,$E$2:E135,E135,$G$2:G135,G135)=1),1,0),0)</f>
        <v>0</v>
      </c>
    </row>
    <row r="136" customFormat="false" ht="15" hidden="false" customHeight="false" outlineLevel="0" collapsed="false">
      <c r="A136" s="12" t="s">
        <v>289</v>
      </c>
      <c r="B136" s="13" t="n">
        <v>46278</v>
      </c>
      <c r="C136" s="12" t="str">
        <f aca="false">IF(A136="","",IFERROR(INDEX(Events!$D$2:$D$67,MATCH(A136,Events!$A$2:$A$67,0)),"Unknown event ID"))</f>
        <v>Polish Pairs &amp; Team Time Trial Championships</v>
      </c>
      <c r="D136" s="12" t="s">
        <v>407</v>
      </c>
      <c r="E136" s="12" t="s">
        <v>59</v>
      </c>
      <c r="F136" s="12" t="s">
        <v>69</v>
      </c>
      <c r="G136" s="12" t="n">
        <v>1</v>
      </c>
      <c r="H136" s="12" t="s">
        <v>366</v>
      </c>
      <c r="I136" s="12" t="s">
        <v>426</v>
      </c>
      <c r="J136" s="12" t="s">
        <v>409</v>
      </c>
      <c r="K136" s="12" t="str">
        <f aca="false">IF(A136="","",IFERROR(IF(INDEX(Events!$J$2:$J$67,MATCH(A136,Events!$A$2:$A$67,0))="Yes",IF(ISNUMBER(SEARCH("Criterium final",D136)),"No","Yes"),"No"),""))</f>
        <v>Yes</v>
      </c>
      <c r="L136" s="12"/>
      <c r="M136" s="12" t="n">
        <f aca="false">IF(OR(A136="",F136=""),0,IF(COUNTIFS($A$2:A136,A136,$F$2:F136,F136)=1,1,0))</f>
        <v>0</v>
      </c>
      <c r="N136" s="12" t="str">
        <f aca="false">IF(A136="","",IFERROR(INDEX(Events!$F$2:$F$67,MATCH(A136,Events!$A$2:$A$67,0)),""))</f>
        <v>POL</v>
      </c>
      <c r="O136" s="12" t="n">
        <f aca="false">IF(AND(G136=1,K136="Yes",N136="POL"),IF(COUNTIFS($A$2:A136,A136,$D$2:D136,D136,$E$2:E136,E136,$G$2:G136,1)=1,1,0),0)</f>
        <v>0</v>
      </c>
      <c r="P136" s="12" t="n">
        <f aca="false">IF(AND(ISNUMBER(G136),K136="Yes",N136="POL"),IF(AND(G136&gt;=1,G136&lt;=3,COUNTIFS($A$2:A136,A136,$D$2:D136,D136,$E$2:E136,E136,$G$2:G136,G136)=1),1,0),0)</f>
        <v>0</v>
      </c>
    </row>
    <row r="137" customFormat="false" ht="15" hidden="false" customHeight="false" outlineLevel="0" collapsed="false">
      <c r="A137" s="12" t="s">
        <v>289</v>
      </c>
      <c r="B137" s="13" t="n">
        <v>46278</v>
      </c>
      <c r="C137" s="12" t="str">
        <f aca="false">IF(A137="","",IFERROR(INDEX(Events!$D$2:$D$67,MATCH(A137,Events!$A$2:$A$67,0)),"Unknown event ID"))</f>
        <v>Polish Pairs &amp; Team Time Trial Championships</v>
      </c>
      <c r="D137" s="12" t="s">
        <v>407</v>
      </c>
      <c r="E137" s="12" t="s">
        <v>66</v>
      </c>
      <c r="F137" s="12" t="s">
        <v>69</v>
      </c>
      <c r="G137" s="12" t="n">
        <v>1</v>
      </c>
      <c r="H137" s="12" t="s">
        <v>366</v>
      </c>
      <c r="I137" s="12" t="s">
        <v>426</v>
      </c>
      <c r="J137" s="12" t="s">
        <v>409</v>
      </c>
      <c r="K137" s="12" t="str">
        <f aca="false">IF(A137="","",IFERROR(IF(INDEX(Events!$J$2:$J$67,MATCH(A137,Events!$A$2:$A$67,0))="Yes",IF(ISNUMBER(SEARCH("Criterium final",D137)),"No","Yes"),"No"),""))</f>
        <v>Yes</v>
      </c>
      <c r="L137" s="12"/>
      <c r="M137" s="12" t="n">
        <f aca="false">IF(OR(A137="",F137=""),0,IF(COUNTIFS($A$2:A137,A137,$F$2:F137,F137)=1,1,0))</f>
        <v>0</v>
      </c>
      <c r="N137" s="12" t="str">
        <f aca="false">IF(A137="","",IFERROR(INDEX(Events!$F$2:$F$67,MATCH(A137,Events!$A$2:$A$67,0)),""))</f>
        <v>POL</v>
      </c>
      <c r="O137" s="12" t="n">
        <f aca="false">IF(AND(G137=1,K137="Yes",N137="POL"),IF(COUNTIFS($A$2:A137,A137,$D$2:D137,D137,$E$2:E137,E137,$G$2:G137,1)=1,1,0),0)</f>
        <v>0</v>
      </c>
      <c r="P137" s="12" t="n">
        <f aca="false">IF(AND(ISNUMBER(G137),K137="Yes",N137="POL"),IF(AND(G137&gt;=1,G137&lt;=3,COUNTIFS($A$2:A137,A137,$D$2:D137,D137,$E$2:E137,E137,$G$2:G137,G137)=1),1,0),0)</f>
        <v>0</v>
      </c>
    </row>
    <row r="138" customFormat="false" ht="15" hidden="false" customHeight="false" outlineLevel="0" collapsed="false">
      <c r="A138" s="12" t="s">
        <v>296</v>
      </c>
      <c r="B138" s="13" t="n">
        <v>46285</v>
      </c>
      <c r="C138" s="12" t="str">
        <f aca="false">IF(A138="","",IFERROR(INDEX(Events!$D$2:$D$67,MATCH(A138,Events!$A$2:$A$67,0)),"Unknown event ID"))</f>
        <v>Memoriał im. Stanisława Szozdy – MP criterium final</v>
      </c>
      <c r="D138" s="12" t="s">
        <v>427</v>
      </c>
      <c r="E138" s="12" t="s">
        <v>428</v>
      </c>
      <c r="F138" s="12" t="s">
        <v>69</v>
      </c>
      <c r="G138" s="12" t="n">
        <v>2</v>
      </c>
      <c r="H138" s="12" t="s">
        <v>366</v>
      </c>
      <c r="I138" s="12"/>
      <c r="J138" s="12" t="s">
        <v>429</v>
      </c>
      <c r="K138" s="12" t="str">
        <f aca="false">IF(A138="","",IFERROR(IF(INDEX(Events!$J$2:$J$67,MATCH(A138,Events!$A$2:$A$67,0))="Yes",IF(ISNUMBER(SEARCH("Criterium final",D138)),"No","Yes"),"No"),""))</f>
        <v>No</v>
      </c>
      <c r="L138" s="12"/>
      <c r="M138" s="12" t="n">
        <f aca="false">IF(OR(A138="",F138=""),0,IF(COUNTIFS($A$2:A138,A138,$F$2:F138,F138)=1,1,0))</f>
        <v>1</v>
      </c>
      <c r="N138" s="12" t="str">
        <f aca="false">IF(A138="","",IFERROR(INDEX(Events!$F$2:$F$67,MATCH(A138,Events!$A$2:$A$67,0)),""))</f>
        <v>POL</v>
      </c>
      <c r="O138" s="12" t="n">
        <f aca="false">IF(AND(G138=1,K138="Yes",N138="POL"),IF(COUNTIFS($A$2:A138,A138,$D$2:D138,D138,$E$2:E138,E138,$G$2:G138,1)=1,1,0),0)</f>
        <v>0</v>
      </c>
      <c r="P138" s="12" t="n">
        <f aca="false">IF(AND(ISNUMBER(G138),K138="Yes",N138="POL"),IF(AND(G138&gt;=1,G138&lt;=3,COUNTIFS($A$2:A138,A138,$D$2:D138,D138,$E$2:E138,E138,$G$2:G138,G138)=1),1,0),0)</f>
        <v>0</v>
      </c>
    </row>
    <row r="139" customFormat="false" ht="15" hidden="false" customHeight="false" outlineLevel="0" collapsed="false">
      <c r="A139" s="12" t="s">
        <v>351</v>
      </c>
      <c r="B139" s="13" t="n">
        <v>46292</v>
      </c>
      <c r="C139" s="12" t="str">
        <f aca="false">IF(A139="","",IFERROR(INDEX(Events!$D$2:$D$67,MATCH(A139,Events!$A$2:$A$67,0)),"Unknown event ID"))</f>
        <v>Youth Polish Track Championships – non-Olympic events (MMP)</v>
      </c>
      <c r="D139" s="12" t="s">
        <v>430</v>
      </c>
      <c r="E139" s="12" t="s">
        <v>66</v>
      </c>
      <c r="F139" s="12" t="s">
        <v>69</v>
      </c>
      <c r="G139" s="12" t="n">
        <v>1</v>
      </c>
      <c r="H139" s="12" t="s">
        <v>366</v>
      </c>
      <c r="I139" s="12"/>
      <c r="J139" s="12" t="s">
        <v>431</v>
      </c>
      <c r="K139" s="12" t="str">
        <f aca="false">IF(A139="","",IFERROR(IF(INDEX(Events!$J$2:$J$67,MATCH(A139,Events!$A$2:$A$67,0))="Yes",IF(ISNUMBER(SEARCH("Criterium final",D139)),"No","Yes"),"No"),""))</f>
        <v>Yes</v>
      </c>
      <c r="L139" s="12"/>
      <c r="M139" s="12" t="n">
        <f aca="false">IF(OR(A139="",F139=""),0,IF(COUNTIFS($A$2:A139,A139,$F$2:F139,F139)=1,1,0))</f>
        <v>1</v>
      </c>
      <c r="N139" s="12" t="str">
        <f aca="false">IF(A139="","",IFERROR(INDEX(Events!$F$2:$F$67,MATCH(A139,Events!$A$2:$A$67,0)),""))</f>
        <v>POL</v>
      </c>
      <c r="O139" s="12" t="n">
        <f aca="false">IF(AND(G139=1,K139="Yes",N139="POL"),IF(COUNTIFS($A$2:A139,A139,$D$2:D139,D139,$E$2:E139,E139,$G$2:G139,1)=1,1,0),0)</f>
        <v>1</v>
      </c>
      <c r="P139" s="12" t="n">
        <f aca="false">IF(AND(ISNUMBER(G139),K139="Yes",N139="POL"),IF(AND(G139&gt;=1,G139&lt;=3,COUNTIFS($A$2:A139,A139,$D$2:D139,D139,$E$2:E139,E139,$G$2:G139,G139)=1),1,0),0)</f>
        <v>1</v>
      </c>
    </row>
    <row r="140" customFormat="false" ht="15" hidden="false" customHeight="false" outlineLevel="0" collapsed="false">
      <c r="A140" s="12" t="s">
        <v>351</v>
      </c>
      <c r="B140" s="13" t="n">
        <v>46292</v>
      </c>
      <c r="C140" s="12" t="str">
        <f aca="false">IF(A140="","",IFERROR(INDEX(Events!$D$2:$D$67,MATCH(A140,Events!$A$2:$A$67,0)),"Unknown event ID"))</f>
        <v>Youth Polish Track Championships – non-Olympic events (MMP)</v>
      </c>
      <c r="D140" s="12" t="s">
        <v>404</v>
      </c>
      <c r="E140" s="12" t="s">
        <v>66</v>
      </c>
      <c r="F140" s="12" t="s">
        <v>69</v>
      </c>
      <c r="G140" s="12" t="n">
        <v>1</v>
      </c>
      <c r="H140" s="12" t="s">
        <v>366</v>
      </c>
      <c r="I140" s="12"/>
      <c r="J140" s="12" t="s">
        <v>431</v>
      </c>
      <c r="K140" s="12" t="str">
        <f aca="false">IF(A140="","",IFERROR(IF(INDEX(Events!$J$2:$J$67,MATCH(A140,Events!$A$2:$A$67,0))="Yes",IF(ISNUMBER(SEARCH("Criterium final",D140)),"No","Yes"),"No"),""))</f>
        <v>Yes</v>
      </c>
      <c r="L140" s="12"/>
      <c r="M140" s="12" t="n">
        <f aca="false">IF(OR(A140="",F140=""),0,IF(COUNTIFS($A$2:A140,A140,$F$2:F140,F140)=1,1,0))</f>
        <v>0</v>
      </c>
      <c r="N140" s="12" t="str">
        <f aca="false">IF(A140="","",IFERROR(INDEX(Events!$F$2:$F$67,MATCH(A140,Events!$A$2:$A$67,0)),""))</f>
        <v>POL</v>
      </c>
      <c r="O140" s="12" t="n">
        <f aca="false">IF(AND(G140=1,K140="Yes",N140="POL"),IF(COUNTIFS($A$2:A140,A140,$D$2:D140,D140,$E$2:E140,E140,$G$2:G140,1)=1,1,0),0)</f>
        <v>1</v>
      </c>
      <c r="P140" s="12" t="n">
        <f aca="false">IF(AND(ISNUMBER(G140),K140="Yes",N140="POL"),IF(AND(G140&gt;=1,G140&lt;=3,COUNTIFS($A$2:A140,A140,$D$2:D140,D140,$E$2:E140,E140,$G$2:G140,G140)=1),1,0),0)</f>
        <v>1</v>
      </c>
    </row>
    <row r="141" customFormat="false" ht="15" hidden="false" customHeight="false" outlineLevel="0" collapsed="false">
      <c r="A141" s="12" t="s">
        <v>351</v>
      </c>
      <c r="B141" s="13" t="n">
        <v>46292</v>
      </c>
      <c r="C141" s="12" t="str">
        <f aca="false">IF(A141="","",IFERROR(INDEX(Events!$D$2:$D$67,MATCH(A141,Events!$A$2:$A$67,0)),"Unknown event ID"))</f>
        <v>Youth Polish Track Championships – non-Olympic events (MMP)</v>
      </c>
      <c r="D141" s="12" t="s">
        <v>389</v>
      </c>
      <c r="E141" s="12" t="s">
        <v>66</v>
      </c>
      <c r="F141" s="12" t="s">
        <v>69</v>
      </c>
      <c r="G141" s="12" t="n">
        <v>1</v>
      </c>
      <c r="H141" s="12" t="s">
        <v>366</v>
      </c>
      <c r="I141" s="12"/>
      <c r="J141" s="12" t="s">
        <v>431</v>
      </c>
      <c r="K141" s="12" t="str">
        <f aca="false">IF(A141="","",IFERROR(IF(INDEX(Events!$J$2:$J$67,MATCH(A141,Events!$A$2:$A$67,0))="Yes",IF(ISNUMBER(SEARCH("Criterium final",D141)),"No","Yes"),"No"),""))</f>
        <v>Yes</v>
      </c>
      <c r="L141" s="12"/>
      <c r="M141" s="12" t="n">
        <f aca="false">IF(OR(A141="",F141=""),0,IF(COUNTIFS($A$2:A141,A141,$F$2:F141,F141)=1,1,0))</f>
        <v>0</v>
      </c>
      <c r="N141" s="12" t="str">
        <f aca="false">IF(A141="","",IFERROR(INDEX(Events!$F$2:$F$67,MATCH(A141,Events!$A$2:$A$67,0)),""))</f>
        <v>POL</v>
      </c>
      <c r="O141" s="12" t="n">
        <f aca="false">IF(AND(G141=1,K141="Yes",N141="POL"),IF(COUNTIFS($A$2:A141,A141,$D$2:D141,D141,$E$2:E141,E141,$G$2:G141,1)=1,1,0),0)</f>
        <v>1</v>
      </c>
      <c r="P141" s="12" t="n">
        <f aca="false">IF(AND(ISNUMBER(G141),K141="Yes",N141="POL"),IF(AND(G141&gt;=1,G141&lt;=3,COUNTIFS($A$2:A141,A141,$D$2:D141,D141,$E$2:E141,E141,$G$2:G141,G141)=1),1,0),0)</f>
        <v>1</v>
      </c>
    </row>
    <row r="142" customFormat="false" ht="15" hidden="false" customHeight="false" outlineLevel="0" collapsed="false">
      <c r="A142" s="12" t="s">
        <v>351</v>
      </c>
      <c r="B142" s="13" t="n">
        <v>46292</v>
      </c>
      <c r="C142" s="12" t="str">
        <f aca="false">IF(A142="","",IFERROR(INDEX(Events!$D$2:$D$67,MATCH(A142,Events!$A$2:$A$67,0)),"Unknown event ID"))</f>
        <v>Youth Polish Track Championships – non-Olympic events (MMP)</v>
      </c>
      <c r="D142" s="12" t="s">
        <v>432</v>
      </c>
      <c r="E142" s="12" t="s">
        <v>66</v>
      </c>
      <c r="F142" s="12" t="s">
        <v>69</v>
      </c>
      <c r="G142" s="12" t="n">
        <v>1</v>
      </c>
      <c r="H142" s="12" t="s">
        <v>366</v>
      </c>
      <c r="I142" s="12"/>
      <c r="J142" s="12" t="s">
        <v>431</v>
      </c>
      <c r="K142" s="12" t="str">
        <f aca="false">IF(A142="","",IFERROR(IF(INDEX(Events!$J$2:$J$67,MATCH(A142,Events!$A$2:$A$67,0))="Yes",IF(ISNUMBER(SEARCH("Criterium final",D142)),"No","Yes"),"No"),""))</f>
        <v>Yes</v>
      </c>
      <c r="L142" s="12"/>
      <c r="M142" s="12" t="n">
        <f aca="false">IF(OR(A142="",F142=""),0,IF(COUNTIFS($A$2:A142,A142,$F$2:F142,F142)=1,1,0))</f>
        <v>0</v>
      </c>
      <c r="N142" s="12" t="str">
        <f aca="false">IF(A142="","",IFERROR(INDEX(Events!$F$2:$F$67,MATCH(A142,Events!$A$2:$A$67,0)),""))</f>
        <v>POL</v>
      </c>
      <c r="O142" s="12" t="n">
        <f aca="false">IF(AND(G142=1,K142="Yes",N142="POL"),IF(COUNTIFS($A$2:A142,A142,$D$2:D142,D142,$E$2:E142,E142,$G$2:G142,1)=1,1,0),0)</f>
        <v>1</v>
      </c>
      <c r="P142" s="12" t="n">
        <f aca="false">IF(AND(ISNUMBER(G142),K142="Yes",N142="POL"),IF(AND(G142&gt;=1,G142&lt;=3,COUNTIFS($A$2:A142,A142,$D$2:D142,D142,$E$2:E142,E142,$G$2:G142,G142)=1),1,0),0)</f>
        <v>1</v>
      </c>
    </row>
    <row r="143" customFormat="false" ht="15" hidden="false" customHeight="false" outlineLevel="0" collapsed="false">
      <c r="A143" s="12" t="s">
        <v>150</v>
      </c>
      <c r="B143" s="13" t="n">
        <v>46054</v>
      </c>
      <c r="C143" s="12" t="str">
        <f aca="false">IF(A143="","",IFERROR(INDEX(Events!$D$2:$D$67,MATCH(A143,Events!$A$2:$A$67,0)),"Unknown event ID"))</f>
        <v>UEC Track Elite European Championships</v>
      </c>
      <c r="D143" s="12" t="s">
        <v>404</v>
      </c>
      <c r="E143" s="12" t="s">
        <v>59</v>
      </c>
      <c r="F143" s="12" t="s">
        <v>72</v>
      </c>
      <c r="G143" s="12" t="n">
        <v>11</v>
      </c>
      <c r="H143" s="12" t="s">
        <v>366</v>
      </c>
      <c r="I143" s="12"/>
      <c r="J143" s="12" t="s">
        <v>74</v>
      </c>
      <c r="K143" s="12" t="str">
        <f aca="false">IF(A143="","",IFERROR(IF(INDEX(Events!$J$2:$J$67,MATCH(A143,Events!$A$2:$A$67,0))="Yes",IF(ISNUMBER(SEARCH("Criterium final",D143)),"No","Yes"),"No"),""))</f>
        <v>No</v>
      </c>
      <c r="L143" s="12"/>
      <c r="M143" s="12" t="n">
        <f aca="false">IF(OR(A143="",F143=""),0,IF(COUNTIFS($A$2:A143,A143,$F$2:F143,F143)=1,1,0))</f>
        <v>1</v>
      </c>
      <c r="N143" s="12" t="str">
        <f aca="false">IF(A143="","",IFERROR(INDEX(Events!$F$2:$F$67,MATCH(A143,Events!$A$2:$A$67,0)),""))</f>
        <v>TUR</v>
      </c>
      <c r="O143" s="12" t="n">
        <f aca="false">IF(AND(G143=1,K143="Yes",N143="POL"),IF(COUNTIFS($A$2:A143,A143,$D$2:D143,D143,$E$2:E143,E143,$G$2:G143,1)=1,1,0),0)</f>
        <v>0</v>
      </c>
      <c r="P143" s="12" t="n">
        <f aca="false">IF(AND(ISNUMBER(G143),K143="Yes",N143="POL"),IF(AND(G143&gt;=1,G143&lt;=3,COUNTIFS($A$2:A143,A143,$D$2:D143,D143,$E$2:E143,E143,$G$2:G143,G143)=1),1,0),0)</f>
        <v>0</v>
      </c>
    </row>
    <row r="144" customFormat="false" ht="15" hidden="false" customHeight="false" outlineLevel="0" collapsed="false">
      <c r="A144" s="12" t="s">
        <v>150</v>
      </c>
      <c r="B144" s="13" t="n">
        <v>46055</v>
      </c>
      <c r="C144" s="12" t="str">
        <f aca="false">IF(A144="","",IFERROR(INDEX(Events!$D$2:$D$67,MATCH(A144,Events!$A$2:$A$67,0)),"Unknown event ID"))</f>
        <v>UEC Track Elite European Championships</v>
      </c>
      <c r="D144" s="12" t="s">
        <v>369</v>
      </c>
      <c r="E144" s="12" t="s">
        <v>59</v>
      </c>
      <c r="F144" s="12" t="s">
        <v>72</v>
      </c>
      <c r="G144" s="12" t="n">
        <v>9</v>
      </c>
      <c r="H144" s="12" t="s">
        <v>366</v>
      </c>
      <c r="I144" s="12"/>
      <c r="J144" s="12" t="s">
        <v>74</v>
      </c>
      <c r="K144" s="12" t="str">
        <f aca="false">IF(A144="","",IFERROR(IF(INDEX(Events!$J$2:$J$67,MATCH(A144,Events!$A$2:$A$67,0))="Yes",IF(ISNUMBER(SEARCH("Criterium final",D144)),"No","Yes"),"No"),""))</f>
        <v>No</v>
      </c>
      <c r="L144" s="12"/>
      <c r="M144" s="12" t="n">
        <f aca="false">IF(OR(A144="",F144=""),0,IF(COUNTIFS($A$2:A144,A144,$F$2:F144,F144)=1,1,0))</f>
        <v>0</v>
      </c>
      <c r="N144" s="12" t="str">
        <f aca="false">IF(A144="","",IFERROR(INDEX(Events!$F$2:$F$67,MATCH(A144,Events!$A$2:$A$67,0)),""))</f>
        <v>TUR</v>
      </c>
      <c r="O144" s="12" t="n">
        <f aca="false">IF(AND(G144=1,K144="Yes",N144="POL"),IF(COUNTIFS($A$2:A144,A144,$D$2:D144,D144,$E$2:E144,E144,$G$2:G144,1)=1,1,0),0)</f>
        <v>0</v>
      </c>
      <c r="P144" s="12" t="n">
        <f aca="false">IF(AND(ISNUMBER(G144),K144="Yes",N144="POL"),IF(AND(G144&gt;=1,G144&lt;=3,COUNTIFS($A$2:A144,A144,$D$2:D144,D144,$E$2:E144,E144,$G$2:G144,G144)=1),1,0),0)</f>
        <v>0</v>
      </c>
    </row>
    <row r="145" customFormat="false" ht="15" hidden="false" customHeight="false" outlineLevel="0" collapsed="false">
      <c r="A145" s="12" t="s">
        <v>174</v>
      </c>
      <c r="B145" s="13" t="n">
        <v>46103</v>
      </c>
      <c r="C145" s="12" t="str">
        <f aca="false">IF(A145="","",IFERROR(INDEX(Events!$D$2:$D$67,MATCH(A145,Events!$A$2:$A$67,0)),"Unknown event ID"))</f>
        <v>Midwest Cycling Classic</v>
      </c>
      <c r="D145" s="12" t="s">
        <v>365</v>
      </c>
      <c r="E145" s="12" t="s">
        <v>59</v>
      </c>
      <c r="F145" s="12" t="s">
        <v>72</v>
      </c>
      <c r="G145" s="12" t="n">
        <v>93</v>
      </c>
      <c r="H145" s="12" t="s">
        <v>366</v>
      </c>
      <c r="I145" s="12"/>
      <c r="J145" s="12" t="s">
        <v>74</v>
      </c>
      <c r="K145" s="12" t="str">
        <f aca="false">IF(A145="","",IFERROR(IF(INDEX(Events!$J$2:$J$67,MATCH(A145,Events!$A$2:$A$67,0))="Yes",IF(ISNUMBER(SEARCH("Criterium final",D145)),"No","Yes"),"No"),""))</f>
        <v>No</v>
      </c>
      <c r="L145" s="12"/>
      <c r="M145" s="12" t="n">
        <f aca="false">IF(OR(A145="",F145=""),0,IF(COUNTIFS($A$2:A145,A145,$F$2:F145,F145)=1,1,0))</f>
        <v>1</v>
      </c>
      <c r="N145" s="12" t="str">
        <f aca="false">IF(A145="","",IFERROR(INDEX(Events!$F$2:$F$67,MATCH(A145,Events!$A$2:$A$67,0)),""))</f>
        <v>BEL</v>
      </c>
      <c r="O145" s="12" t="n">
        <f aca="false">IF(AND(G145=1,K145="Yes",N145="POL"),IF(COUNTIFS($A$2:A145,A145,$D$2:D145,D145,$E$2:E145,E145,$G$2:G145,1)=1,1,0),0)</f>
        <v>0</v>
      </c>
      <c r="P145" s="12" t="n">
        <f aca="false">IF(AND(ISNUMBER(G145),K145="Yes",N145="POL"),IF(AND(G145&gt;=1,G145&lt;=3,COUNTIFS($A$2:A145,A145,$D$2:D145,D145,$E$2:E145,E145,$G$2:G145,G145)=1),1,0),0)</f>
        <v>0</v>
      </c>
    </row>
    <row r="146" customFormat="false" ht="15" hidden="false" customHeight="false" outlineLevel="0" collapsed="false">
      <c r="A146" s="12" t="s">
        <v>185</v>
      </c>
      <c r="B146" s="13" t="n">
        <v>46118</v>
      </c>
      <c r="C146" s="12" t="str">
        <f aca="false">IF(A146="","",IFERROR(INDEX(Events!$D$2:$D$67,MATCH(A146,Events!$A$2:$A$67,0)),"Unknown event ID"))</f>
        <v>Ronde de Mouscron</v>
      </c>
      <c r="D146" s="12" t="s">
        <v>365</v>
      </c>
      <c r="E146" s="12" t="s">
        <v>59</v>
      </c>
      <c r="F146" s="12" t="s">
        <v>72</v>
      </c>
      <c r="G146" s="12"/>
      <c r="H146" s="12" t="s">
        <v>33</v>
      </c>
      <c r="I146" s="12"/>
      <c r="J146" s="12" t="s">
        <v>74</v>
      </c>
      <c r="K146" s="12" t="str">
        <f aca="false">IF(A146="","",IFERROR(IF(INDEX(Events!$J$2:$J$67,MATCH(A146,Events!$A$2:$A$67,0))="Yes",IF(ISNUMBER(SEARCH("Criterium final",D146)),"No","Yes"),"No"),""))</f>
        <v>No</v>
      </c>
      <c r="L146" s="12"/>
      <c r="M146" s="12" t="n">
        <f aca="false">IF(OR(A146="",F146=""),0,IF(COUNTIFS($A$2:A146,A146,$F$2:F146,F146)=1,1,0))</f>
        <v>1</v>
      </c>
      <c r="N146" s="12" t="str">
        <f aca="false">IF(A146="","",IFERROR(INDEX(Events!$F$2:$F$67,MATCH(A146,Events!$A$2:$A$67,0)),""))</f>
        <v>BEL</v>
      </c>
      <c r="O146" s="12" t="n">
        <f aca="false">IF(AND(G146=1,K146="Yes",N146="POL"),IF(COUNTIFS($A$2:A146,A146,$D$2:D146,D146,$E$2:E146,E146,$G$2:G146,1)=1,1,0),0)</f>
        <v>0</v>
      </c>
      <c r="P146" s="12" t="n">
        <f aca="false">IF(AND(ISNUMBER(G146),K146="Yes",N146="POL"),IF(AND(G146&gt;=1,G146&lt;=3,COUNTIFS($A$2:A146,A146,$D$2:D146,D146,$E$2:E146,E146,$G$2:G146,G146)=1),1,0),0)</f>
        <v>0</v>
      </c>
    </row>
    <row r="147" customFormat="false" ht="15" hidden="false" customHeight="false" outlineLevel="0" collapsed="false">
      <c r="A147" s="12" t="s">
        <v>188</v>
      </c>
      <c r="B147" s="13" t="n">
        <v>46120</v>
      </c>
      <c r="C147" s="12" t="str">
        <f aca="false">IF(A147="","",IFERROR(INDEX(Events!$D$2:$D$67,MATCH(A147,Events!$A$2:$A$67,0)),"Unknown event ID"))</f>
        <v>Scheldeprijs Vrouwen Elite</v>
      </c>
      <c r="D147" s="12" t="s">
        <v>365</v>
      </c>
      <c r="E147" s="12" t="s">
        <v>59</v>
      </c>
      <c r="F147" s="12" t="s">
        <v>72</v>
      </c>
      <c r="G147" s="12" t="n">
        <v>109</v>
      </c>
      <c r="H147" s="12" t="s">
        <v>366</v>
      </c>
      <c r="I147" s="12"/>
      <c r="J147" s="12" t="s">
        <v>74</v>
      </c>
      <c r="K147" s="12" t="str">
        <f aca="false">IF(A147="","",IFERROR(IF(INDEX(Events!$J$2:$J$67,MATCH(A147,Events!$A$2:$A$67,0))="Yes",IF(ISNUMBER(SEARCH("Criterium final",D147)),"No","Yes"),"No"),""))</f>
        <v>No</v>
      </c>
      <c r="L147" s="12"/>
      <c r="M147" s="12" t="n">
        <f aca="false">IF(OR(A147="",F147=""),0,IF(COUNTIFS($A$2:A147,A147,$F$2:F147,F147)=1,1,0))</f>
        <v>1</v>
      </c>
      <c r="N147" s="12" t="str">
        <f aca="false">IF(A147="","",IFERROR(INDEX(Events!$F$2:$F$67,MATCH(A147,Events!$A$2:$A$67,0)),""))</f>
        <v>BEL</v>
      </c>
      <c r="O147" s="12" t="n">
        <f aca="false">IF(AND(G147=1,K147="Yes",N147="POL"),IF(COUNTIFS($A$2:A147,A147,$D$2:D147,D147,$E$2:E147,E147,$G$2:G147,1)=1,1,0),0)</f>
        <v>0</v>
      </c>
      <c r="P147" s="12" t="n">
        <f aca="false">IF(AND(ISNUMBER(G147),K147="Yes",N147="POL"),IF(AND(G147&gt;=1,G147&lt;=3,COUNTIFS($A$2:A147,A147,$D$2:D147,D147,$E$2:E147,E147,$G$2:G147,G147)=1),1,0),0)</f>
        <v>0</v>
      </c>
    </row>
    <row r="148" customFormat="false" ht="15" hidden="false" customHeight="false" outlineLevel="0" collapsed="false">
      <c r="A148" s="12" t="s">
        <v>310</v>
      </c>
      <c r="B148" s="13" t="n">
        <v>46129</v>
      </c>
      <c r="C148" s="12" t="str">
        <f aca="false">IF(A148="","",IFERROR(INDEX(Events!$D$2:$D$67,MATCH(A148,Events!$A$2:$A$67,0)),"Unknown event ID"))</f>
        <v>UCI Track Nations Cup – Hong Kong</v>
      </c>
      <c r="D148" s="12" t="s">
        <v>369</v>
      </c>
      <c r="E148" s="12" t="s">
        <v>59</v>
      </c>
      <c r="F148" s="12" t="s">
        <v>72</v>
      </c>
      <c r="G148" s="12" t="n">
        <v>9</v>
      </c>
      <c r="H148" s="12" t="s">
        <v>366</v>
      </c>
      <c r="I148" s="12"/>
      <c r="J148" s="12" t="s">
        <v>74</v>
      </c>
      <c r="K148" s="12" t="str">
        <f aca="false">IF(A148="","",IFERROR(IF(INDEX(Events!$J$2:$J$67,MATCH(A148,Events!$A$2:$A$67,0))="Yes",IF(ISNUMBER(SEARCH("Criterium final",D148)),"No","Yes"),"No"),""))</f>
        <v>No</v>
      </c>
      <c r="L148" s="12"/>
      <c r="M148" s="12" t="n">
        <f aca="false">IF(OR(A148="",F148=""),0,IF(COUNTIFS($A$2:A148,A148,$F$2:F148,F148)=1,1,0))</f>
        <v>1</v>
      </c>
      <c r="N148" s="12" t="str">
        <f aca="false">IF(A148="","",IFERROR(INDEX(Events!$F$2:$F$67,MATCH(A148,Events!$A$2:$A$67,0)),""))</f>
        <v>HKG</v>
      </c>
      <c r="O148" s="12" t="n">
        <f aca="false">IF(AND(G148=1,K148="Yes",N148="POL"),IF(COUNTIFS($A$2:A148,A148,$D$2:D148,D148,$E$2:E148,E148,$G$2:G148,1)=1,1,0),0)</f>
        <v>0</v>
      </c>
      <c r="P148" s="12" t="n">
        <f aca="false">IF(AND(ISNUMBER(G148),K148="Yes",N148="POL"),IF(AND(G148&gt;=1,G148&lt;=3,COUNTIFS($A$2:A148,A148,$D$2:D148,D148,$E$2:E148,E148,$G$2:G148,G148)=1),1,0),0)</f>
        <v>0</v>
      </c>
    </row>
    <row r="149" customFormat="false" ht="15" hidden="false" customHeight="false" outlineLevel="0" collapsed="false">
      <c r="A149" s="12" t="s">
        <v>310</v>
      </c>
      <c r="B149" s="13" t="n">
        <v>46129</v>
      </c>
      <c r="C149" s="12" t="str">
        <f aca="false">IF(A149="","",IFERROR(INDEX(Events!$D$2:$D$67,MATCH(A149,Events!$A$2:$A$67,0)),"Unknown event ID"))</f>
        <v>UCI Track Nations Cup – Hong Kong</v>
      </c>
      <c r="D149" s="12" t="s">
        <v>380</v>
      </c>
      <c r="E149" s="12" t="s">
        <v>59</v>
      </c>
      <c r="F149" s="12" t="s">
        <v>72</v>
      </c>
      <c r="G149" s="12" t="n">
        <v>20</v>
      </c>
      <c r="H149" s="12" t="s">
        <v>366</v>
      </c>
      <c r="I149" s="12"/>
      <c r="J149" s="12" t="s">
        <v>74</v>
      </c>
      <c r="K149" s="12" t="str">
        <f aca="false">IF(A149="","",IFERROR(IF(INDEX(Events!$J$2:$J$67,MATCH(A149,Events!$A$2:$A$67,0))="Yes",IF(ISNUMBER(SEARCH("Criterium final",D149)),"No","Yes"),"No"),""))</f>
        <v>No</v>
      </c>
      <c r="L149" s="12"/>
      <c r="M149" s="12" t="n">
        <f aca="false">IF(OR(A149="",F149=""),0,IF(COUNTIFS($A$2:A149,A149,$F$2:F149,F149)=1,1,0))</f>
        <v>0</v>
      </c>
      <c r="N149" s="12" t="str">
        <f aca="false">IF(A149="","",IFERROR(INDEX(Events!$F$2:$F$67,MATCH(A149,Events!$A$2:$A$67,0)),""))</f>
        <v>HKG</v>
      </c>
      <c r="O149" s="12" t="n">
        <f aca="false">IF(AND(G149=1,K149="Yes",N149="POL"),IF(COUNTIFS($A$2:A149,A149,$D$2:D149,D149,$E$2:E149,E149,$G$2:G149,1)=1,1,0),0)</f>
        <v>0</v>
      </c>
      <c r="P149" s="12" t="n">
        <f aca="false">IF(AND(ISNUMBER(G149),K149="Yes",N149="POL"),IF(AND(G149&gt;=1,G149&lt;=3,COUNTIFS($A$2:A149,A149,$D$2:D149,D149,$E$2:E149,E149,$G$2:G149,G149)=1),1,0),0)</f>
        <v>0</v>
      </c>
    </row>
    <row r="150" customFormat="false" ht="15" hidden="false" customHeight="false" outlineLevel="0" collapsed="false">
      <c r="A150" s="12" t="s">
        <v>316</v>
      </c>
      <c r="B150" s="13" t="n">
        <v>46136</v>
      </c>
      <c r="C150" s="12" t="str">
        <f aca="false">IF(A150="","",IFERROR(INDEX(Events!$D$2:$D$67,MATCH(A150,Events!$A$2:$A$67,0)),"Unknown event ID"))</f>
        <v>UCI Track Nations Cup – Nilai</v>
      </c>
      <c r="D150" s="12" t="s">
        <v>369</v>
      </c>
      <c r="E150" s="12" t="s">
        <v>59</v>
      </c>
      <c r="F150" s="12" t="s">
        <v>72</v>
      </c>
      <c r="G150" s="12" t="n">
        <v>8</v>
      </c>
      <c r="H150" s="12" t="s">
        <v>366</v>
      </c>
      <c r="I150" s="12"/>
      <c r="J150" s="12" t="s">
        <v>74</v>
      </c>
      <c r="K150" s="12" t="str">
        <f aca="false">IF(A150="","",IFERROR(IF(INDEX(Events!$J$2:$J$67,MATCH(A150,Events!$A$2:$A$67,0))="Yes",IF(ISNUMBER(SEARCH("Criterium final",D150)),"No","Yes"),"No"),""))</f>
        <v>No</v>
      </c>
      <c r="L150" s="12"/>
      <c r="M150" s="12" t="n">
        <f aca="false">IF(OR(A150="",F150=""),0,IF(COUNTIFS($A$2:A150,A150,$F$2:F150,F150)=1,1,0))</f>
        <v>1</v>
      </c>
      <c r="N150" s="12" t="str">
        <f aca="false">IF(A150="","",IFERROR(INDEX(Events!$F$2:$F$67,MATCH(A150,Events!$A$2:$A$67,0)),""))</f>
        <v>MAS</v>
      </c>
      <c r="O150" s="12" t="n">
        <f aca="false">IF(AND(G150=1,K150="Yes",N150="POL"),IF(COUNTIFS($A$2:A150,A150,$D$2:D150,D150,$E$2:E150,E150,$G$2:G150,1)=1,1,0),0)</f>
        <v>0</v>
      </c>
      <c r="P150" s="12" t="n">
        <f aca="false">IF(AND(ISNUMBER(G150),K150="Yes",N150="POL"),IF(AND(G150&gt;=1,G150&lt;=3,COUNTIFS($A$2:A150,A150,$D$2:D150,D150,$E$2:E150,E150,$G$2:G150,G150)=1),1,0),0)</f>
        <v>0</v>
      </c>
    </row>
    <row r="151" customFormat="false" ht="15" hidden="false" customHeight="false" outlineLevel="0" collapsed="false">
      <c r="A151" s="12" t="s">
        <v>316</v>
      </c>
      <c r="B151" s="13" t="n">
        <v>46136</v>
      </c>
      <c r="C151" s="12" t="str">
        <f aca="false">IF(A151="","",IFERROR(INDEX(Events!$D$2:$D$67,MATCH(A151,Events!$A$2:$A$67,0)),"Unknown event ID"))</f>
        <v>UCI Track Nations Cup – Nilai</v>
      </c>
      <c r="D151" s="12" t="s">
        <v>380</v>
      </c>
      <c r="E151" s="12" t="s">
        <v>59</v>
      </c>
      <c r="F151" s="12" t="s">
        <v>72</v>
      </c>
      <c r="G151" s="12" t="n">
        <v>13</v>
      </c>
      <c r="H151" s="12" t="s">
        <v>366</v>
      </c>
      <c r="I151" s="12"/>
      <c r="J151" s="12" t="s">
        <v>74</v>
      </c>
      <c r="K151" s="12" t="str">
        <f aca="false">IF(A151="","",IFERROR(IF(INDEX(Events!$J$2:$J$67,MATCH(A151,Events!$A$2:$A$67,0))="Yes",IF(ISNUMBER(SEARCH("Criterium final",D151)),"No","Yes"),"No"),""))</f>
        <v>No</v>
      </c>
      <c r="L151" s="12"/>
      <c r="M151" s="12" t="n">
        <f aca="false">IF(OR(A151="",F151=""),0,IF(COUNTIFS($A$2:A151,A151,$F$2:F151,F151)=1,1,0))</f>
        <v>0</v>
      </c>
      <c r="N151" s="12" t="str">
        <f aca="false">IF(A151="","",IFERROR(INDEX(Events!$F$2:$F$67,MATCH(A151,Events!$A$2:$A$67,0)),""))</f>
        <v>MAS</v>
      </c>
      <c r="O151" s="12" t="n">
        <f aca="false">IF(AND(G151=1,K151="Yes",N151="POL"),IF(COUNTIFS($A$2:A151,A151,$D$2:D151,D151,$E$2:E151,E151,$G$2:G151,1)=1,1,0),0)</f>
        <v>0</v>
      </c>
      <c r="P151" s="12" t="n">
        <f aca="false">IF(AND(ISNUMBER(G151),K151="Yes",N151="POL"),IF(AND(G151&gt;=1,G151&lt;=3,COUNTIFS($A$2:A151,A151,$D$2:D151,D151,$E$2:E151,E151,$G$2:G151,G151)=1),1,0),0)</f>
        <v>0</v>
      </c>
    </row>
    <row r="152" customFormat="false" ht="15" hidden="false" customHeight="false" outlineLevel="0" collapsed="false">
      <c r="A152" s="12" t="s">
        <v>211</v>
      </c>
      <c r="B152" s="13" t="n">
        <v>46145</v>
      </c>
      <c r="C152" s="12" t="str">
        <f aca="false">IF(A152="","",IFERROR(INDEX(Events!$D$2:$D$67,MATCH(A152,Events!$A$2:$A$67,0)),"Unknown event ID"))</f>
        <v>Criterium Lubawa (MP criterium qualifier)</v>
      </c>
      <c r="D152" s="12" t="s">
        <v>433</v>
      </c>
      <c r="E152" s="12" t="s">
        <v>428</v>
      </c>
      <c r="F152" s="12" t="s">
        <v>72</v>
      </c>
      <c r="G152" s="12" t="n">
        <v>1</v>
      </c>
      <c r="H152" s="12" t="s">
        <v>366</v>
      </c>
      <c r="I152" s="12"/>
      <c r="J152" s="12" t="s">
        <v>434</v>
      </c>
      <c r="K152" s="12" t="str">
        <f aca="false">IF(A152="","",IFERROR(IF(INDEX(Events!$J$2:$J$67,MATCH(A152,Events!$A$2:$A$67,0))="Yes",IF(ISNUMBER(SEARCH("Criterium final",D152)),"No","Yes"),"No"),""))</f>
        <v>No</v>
      </c>
      <c r="L152" s="12"/>
      <c r="M152" s="12" t="n">
        <f aca="false">IF(OR(A152="",F152=""),0,IF(COUNTIFS($A$2:A152,A152,$F$2:F152,F152)=1,1,0))</f>
        <v>1</v>
      </c>
      <c r="N152" s="12" t="str">
        <f aca="false">IF(A152="","",IFERROR(INDEX(Events!$F$2:$F$67,MATCH(A152,Events!$A$2:$A$67,0)),""))</f>
        <v>POL</v>
      </c>
      <c r="O152" s="12" t="n">
        <f aca="false">IF(AND(G152=1,K152="Yes",N152="POL"),IF(COUNTIFS($A$2:A152,A152,$D$2:D152,D152,$E$2:E152,E152,$G$2:G152,1)=1,1,0),0)</f>
        <v>0</v>
      </c>
      <c r="P152" s="12" t="n">
        <f aca="false">IF(AND(ISNUMBER(G152),K152="Yes",N152="POL"),IF(AND(G152&gt;=1,G152&lt;=3,COUNTIFS($A$2:A152,A152,$D$2:D152,D152,$E$2:E152,E152,$G$2:G152,G152)=1),1,0),0)</f>
        <v>0</v>
      </c>
    </row>
    <row r="153" customFormat="false" ht="15" hidden="false" customHeight="false" outlineLevel="0" collapsed="false">
      <c r="A153" s="12" t="s">
        <v>220</v>
      </c>
      <c r="B153" s="13" t="n">
        <v>46152</v>
      </c>
      <c r="C153" s="12" t="str">
        <f aca="false">IF(A153="","",IFERROR(INDEX(Events!$D$2:$D$67,MATCH(A153,Events!$A$2:$A$67,0)),"Unknown event ID"))</f>
        <v>Trofee Maarten Wynants</v>
      </c>
      <c r="D153" s="12" t="s">
        <v>365</v>
      </c>
      <c r="E153" s="12" t="s">
        <v>59</v>
      </c>
      <c r="F153" s="12" t="s">
        <v>72</v>
      </c>
      <c r="G153" s="12" t="n">
        <v>88</v>
      </c>
      <c r="H153" s="12" t="s">
        <v>366</v>
      </c>
      <c r="I153" s="12"/>
      <c r="J153" s="12" t="s">
        <v>74</v>
      </c>
      <c r="K153" s="12" t="str">
        <f aca="false">IF(A153="","",IFERROR(IF(INDEX(Events!$J$2:$J$67,MATCH(A153,Events!$A$2:$A$67,0))="Yes",IF(ISNUMBER(SEARCH("Criterium final",D153)),"No","Yes"),"No"),""))</f>
        <v>No</v>
      </c>
      <c r="L153" s="12"/>
      <c r="M153" s="12" t="n">
        <f aca="false">IF(OR(A153="",F153=""),0,IF(COUNTIFS($A$2:A153,A153,$F$2:F153,F153)=1,1,0))</f>
        <v>1</v>
      </c>
      <c r="N153" s="12" t="str">
        <f aca="false">IF(A153="","",IFERROR(INDEX(Events!$F$2:$F$67,MATCH(A153,Events!$A$2:$A$67,0)),""))</f>
        <v>BEL</v>
      </c>
      <c r="O153" s="12" t="n">
        <f aca="false">IF(AND(G153=1,K153="Yes",N153="POL"),IF(COUNTIFS($A$2:A153,A153,$D$2:D153,D153,$E$2:E153,E153,$G$2:G153,1)=1,1,0),0)</f>
        <v>0</v>
      </c>
      <c r="P153" s="12" t="n">
        <f aca="false">IF(AND(ISNUMBER(G153),K153="Yes",N153="POL"),IF(AND(G153&gt;=1,G153&lt;=3,COUNTIFS($A$2:A153,A153,$D$2:D153,D153,$E$2:E153,E153,$G$2:G153,G153)=1),1,0),0)</f>
        <v>0</v>
      </c>
    </row>
    <row r="154" customFormat="false" ht="15" hidden="false" customHeight="false" outlineLevel="0" collapsed="false">
      <c r="A154" s="12" t="s">
        <v>246</v>
      </c>
      <c r="B154" s="13" t="n">
        <v>46198</v>
      </c>
      <c r="C154" s="12" t="str">
        <f aca="false">IF(A154="","",IFERROR(INDEX(Events!$D$2:$D$67,MATCH(A154,Events!$A$2:$A$67,0)),"Unknown event ID"))</f>
        <v>Polish Road Championships (ITT + road race)</v>
      </c>
      <c r="D154" s="12" t="s">
        <v>387</v>
      </c>
      <c r="E154" s="12" t="s">
        <v>66</v>
      </c>
      <c r="F154" s="12" t="s">
        <v>72</v>
      </c>
      <c r="G154" s="12" t="n">
        <v>18</v>
      </c>
      <c r="H154" s="12" t="s">
        <v>366</v>
      </c>
      <c r="I154" s="12"/>
      <c r="J154" s="12" t="s">
        <v>74</v>
      </c>
      <c r="K154" s="12" t="str">
        <f aca="false">IF(A154="","",IFERROR(IF(INDEX(Events!$J$2:$J$67,MATCH(A154,Events!$A$2:$A$67,0))="Yes",IF(ISNUMBER(SEARCH("Criterium final",D154)),"No","Yes"),"No"),""))</f>
        <v>Yes</v>
      </c>
      <c r="L154" s="12"/>
      <c r="M154" s="12" t="n">
        <f aca="false">IF(OR(A154="",F154=""),0,IF(COUNTIFS($A$2:A154,A154,$F$2:F154,F154)=1,1,0))</f>
        <v>1</v>
      </c>
      <c r="N154" s="12" t="str">
        <f aca="false">IF(A154="","",IFERROR(INDEX(Events!$F$2:$F$67,MATCH(A154,Events!$A$2:$A$67,0)),""))</f>
        <v>POL</v>
      </c>
      <c r="O154" s="12" t="n">
        <f aca="false">IF(AND(G154=1,K154="Yes",N154="POL"),IF(COUNTIFS($A$2:A154,A154,$D$2:D154,D154,$E$2:E154,E154,$G$2:G154,1)=1,1,0),0)</f>
        <v>0</v>
      </c>
      <c r="P154" s="12" t="n">
        <f aca="false">IF(AND(ISNUMBER(G154),K154="Yes",N154="POL"),IF(AND(G154&gt;=1,G154&lt;=3,COUNTIFS($A$2:A154,A154,$D$2:D154,D154,$E$2:E154,E154,$G$2:G154,G154)=1),1,0),0)</f>
        <v>0</v>
      </c>
    </row>
    <row r="155" customFormat="false" ht="15" hidden="false" customHeight="false" outlineLevel="0" collapsed="false">
      <c r="A155" s="12" t="s">
        <v>246</v>
      </c>
      <c r="B155" s="13" t="n">
        <v>46200</v>
      </c>
      <c r="C155" s="12" t="str">
        <f aca="false">IF(A155="","",IFERROR(INDEX(Events!$D$2:$D$67,MATCH(A155,Events!$A$2:$A$67,0)),"Unknown event ID"))</f>
        <v>Polish Road Championships (ITT + road race)</v>
      </c>
      <c r="D155" s="12" t="s">
        <v>367</v>
      </c>
      <c r="E155" s="12" t="s">
        <v>59</v>
      </c>
      <c r="F155" s="12" t="s">
        <v>72</v>
      </c>
      <c r="G155" s="12" t="n">
        <v>17</v>
      </c>
      <c r="H155" s="12" t="s">
        <v>366</v>
      </c>
      <c r="I155" s="12"/>
      <c r="J155" s="12" t="s">
        <v>74</v>
      </c>
      <c r="K155" s="12" t="str">
        <f aca="false">IF(A155="","",IFERROR(IF(INDEX(Events!$J$2:$J$67,MATCH(A155,Events!$A$2:$A$67,0))="Yes",IF(ISNUMBER(SEARCH("Criterium final",D155)),"No","Yes"),"No"),""))</f>
        <v>Yes</v>
      </c>
      <c r="L155" s="12"/>
      <c r="M155" s="12" t="n">
        <f aca="false">IF(OR(A155="",F155=""),0,IF(COUNTIFS($A$2:A155,A155,$F$2:F155,F155)=1,1,0))</f>
        <v>0</v>
      </c>
      <c r="N155" s="12" t="str">
        <f aca="false">IF(A155="","",IFERROR(INDEX(Events!$F$2:$F$67,MATCH(A155,Events!$A$2:$A$67,0)),""))</f>
        <v>POL</v>
      </c>
      <c r="O155" s="12" t="n">
        <f aca="false">IF(AND(G155=1,K155="Yes",N155="POL"),IF(COUNTIFS($A$2:A155,A155,$D$2:D155,D155,$E$2:E155,E155,$G$2:G155,1)=1,1,0),0)</f>
        <v>0</v>
      </c>
      <c r="P155" s="12" t="n">
        <f aca="false">IF(AND(ISNUMBER(G155),K155="Yes",N155="POL"),IF(AND(G155&gt;=1,G155&lt;=3,COUNTIFS($A$2:A155,A155,$D$2:D155,D155,$E$2:E155,E155,$G$2:G155,G155)=1),1,0),0)</f>
        <v>0</v>
      </c>
    </row>
    <row r="156" customFormat="false" ht="15" hidden="false" customHeight="false" outlineLevel="0" collapsed="false">
      <c r="A156" s="12" t="s">
        <v>249</v>
      </c>
      <c r="B156" s="13" t="n">
        <v>46213</v>
      </c>
      <c r="C156" s="12" t="str">
        <f aca="false">IF(A156="","",IFERROR(INDEX(Events!$D$2:$D$67,MATCH(A156,Events!$A$2:$A$67,0)),"Unknown event ID"))</f>
        <v>UEC Track Junior &amp; U23 European Championships</v>
      </c>
      <c r="D156" s="12" t="s">
        <v>369</v>
      </c>
      <c r="E156" s="12" t="s">
        <v>66</v>
      </c>
      <c r="F156" s="12" t="s">
        <v>72</v>
      </c>
      <c r="G156" s="12" t="n">
        <v>3</v>
      </c>
      <c r="H156" s="12" t="s">
        <v>366</v>
      </c>
      <c r="I156" s="12" t="s">
        <v>399</v>
      </c>
      <c r="J156" s="12" t="s">
        <v>400</v>
      </c>
      <c r="K156" s="12" t="str">
        <f aca="false">IF(A156="","",IFERROR(IF(INDEX(Events!$J$2:$J$67,MATCH(A156,Events!$A$2:$A$67,0))="Yes",IF(ISNUMBER(SEARCH("Criterium final",D156)),"No","Yes"),"No"),""))</f>
        <v>No</v>
      </c>
      <c r="L156" s="12"/>
      <c r="M156" s="12" t="n">
        <f aca="false">IF(OR(A156="",F156=""),0,IF(COUNTIFS($A$2:A156,A156,$F$2:F156,F156)=1,1,0))</f>
        <v>1</v>
      </c>
      <c r="N156" s="12" t="str">
        <f aca="false">IF(A156="","",IFERROR(INDEX(Events!$F$2:$F$67,MATCH(A156,Events!$A$2:$A$67,0)),""))</f>
        <v>GER</v>
      </c>
      <c r="O156" s="12" t="n">
        <f aca="false">IF(AND(G156=1,K156="Yes",N156="POL"),IF(COUNTIFS($A$2:A156,A156,$D$2:D156,D156,$E$2:E156,E156,$G$2:G156,1)=1,1,0),0)</f>
        <v>0</v>
      </c>
      <c r="P156" s="12" t="n">
        <f aca="false">IF(AND(ISNUMBER(G156),K156="Yes",N156="POL"),IF(AND(G156&gt;=1,G156&lt;=3,COUNTIFS($A$2:A156,A156,$D$2:D156,D156,$E$2:E156,E156,$G$2:G156,G156)=1),1,0),0)</f>
        <v>0</v>
      </c>
    </row>
    <row r="157" customFormat="false" ht="15" hidden="false" customHeight="false" outlineLevel="0" collapsed="false">
      <c r="A157" s="12" t="s">
        <v>249</v>
      </c>
      <c r="B157" s="13" t="n">
        <v>46215</v>
      </c>
      <c r="C157" s="12" t="str">
        <f aca="false">IF(A157="","",IFERROR(INDEX(Events!$D$2:$D$67,MATCH(A157,Events!$A$2:$A$67,0)),"Unknown event ID"))</f>
        <v>UEC Track Junior &amp; U23 European Championships</v>
      </c>
      <c r="D157" s="12" t="s">
        <v>370</v>
      </c>
      <c r="E157" s="12" t="s">
        <v>66</v>
      </c>
      <c r="F157" s="12" t="s">
        <v>72</v>
      </c>
      <c r="G157" s="12" t="n">
        <v>7</v>
      </c>
      <c r="H157" s="12" t="s">
        <v>366</v>
      </c>
      <c r="I157" s="12" t="s">
        <v>382</v>
      </c>
      <c r="J157" s="12" t="s">
        <v>412</v>
      </c>
      <c r="K157" s="12" t="str">
        <f aca="false">IF(A157="","",IFERROR(IF(INDEX(Events!$J$2:$J$67,MATCH(A157,Events!$A$2:$A$67,0))="Yes",IF(ISNUMBER(SEARCH("Criterium final",D157)),"No","Yes"),"No"),""))</f>
        <v>No</v>
      </c>
      <c r="L157" s="12"/>
      <c r="M157" s="12" t="n">
        <f aca="false">IF(OR(A157="",F157=""),0,IF(COUNTIFS($A$2:A157,A157,$F$2:F157,F157)=1,1,0))</f>
        <v>0</v>
      </c>
      <c r="N157" s="12" t="str">
        <f aca="false">IF(A157="","",IFERROR(INDEX(Events!$F$2:$F$67,MATCH(A157,Events!$A$2:$A$67,0)),""))</f>
        <v>GER</v>
      </c>
      <c r="O157" s="12" t="n">
        <f aca="false">IF(AND(G157=1,K157="Yes",N157="POL"),IF(COUNTIFS($A$2:A157,A157,$D$2:D157,D157,$E$2:E157,E157,$G$2:G157,1)=1,1,0),0)</f>
        <v>0</v>
      </c>
      <c r="P157" s="12" t="n">
        <f aca="false">IF(AND(ISNUMBER(G157),K157="Yes",N157="POL"),IF(AND(G157&gt;=1,G157&lt;=3,COUNTIFS($A$2:A157,A157,$D$2:D157,D157,$E$2:E157,E157,$G$2:G157,G157)=1),1,0),0)</f>
        <v>0</v>
      </c>
    </row>
    <row r="158" customFormat="false" ht="15" hidden="false" customHeight="false" outlineLevel="0" collapsed="false">
      <c r="A158" s="12" t="s">
        <v>270</v>
      </c>
      <c r="B158" s="13" t="n">
        <v>46235</v>
      </c>
      <c r="C158" s="12" t="str">
        <f aca="false">IF(A158="","",IFERROR(INDEX(Events!$D$2:$D$67,MATCH(A158,Events!$A$2:$A$67,0)),"Unknown event ID"))</f>
        <v>Polish Elite Track Championships</v>
      </c>
      <c r="D158" s="12" t="s">
        <v>369</v>
      </c>
      <c r="E158" s="12" t="s">
        <v>59</v>
      </c>
      <c r="F158" s="12" t="s">
        <v>72</v>
      </c>
      <c r="G158" s="12" t="n">
        <v>2</v>
      </c>
      <c r="H158" s="12" t="s">
        <v>366</v>
      </c>
      <c r="I158" s="12" t="s">
        <v>388</v>
      </c>
      <c r="J158" s="12" t="s">
        <v>379</v>
      </c>
      <c r="K158" s="12" t="str">
        <f aca="false">IF(A158="","",IFERROR(IF(INDEX(Events!$J$2:$J$67,MATCH(A158,Events!$A$2:$A$67,0))="Yes",IF(ISNUMBER(SEARCH("Criterium final",D158)),"No","Yes"),"No"),""))</f>
        <v>Yes</v>
      </c>
      <c r="L158" s="12"/>
      <c r="M158" s="12" t="n">
        <f aca="false">IF(OR(A158="",F158=""),0,IF(COUNTIFS($A$2:A158,A158,$F$2:F158,F158)=1,1,0))</f>
        <v>1</v>
      </c>
      <c r="N158" s="12" t="str">
        <f aca="false">IF(A158="","",IFERROR(INDEX(Events!$F$2:$F$67,MATCH(A158,Events!$A$2:$A$67,0)),""))</f>
        <v>POL</v>
      </c>
      <c r="O158" s="12" t="n">
        <f aca="false">IF(AND(G158=1,K158="Yes",N158="POL"),IF(COUNTIFS($A$2:A158,A158,$D$2:D158,D158,$E$2:E158,E158,$G$2:G158,1)=1,1,0),0)</f>
        <v>0</v>
      </c>
      <c r="P158" s="12" t="n">
        <f aca="false">IF(AND(ISNUMBER(G158),K158="Yes",N158="POL"),IF(AND(G158&gt;=1,G158&lt;=3,COUNTIFS($A$2:A158,A158,$D$2:D158,D158,$E$2:E158,E158,$G$2:G158,G158)=1),1,0),0)</f>
        <v>0</v>
      </c>
    </row>
    <row r="159" customFormat="false" ht="15" hidden="false" customHeight="false" outlineLevel="0" collapsed="false">
      <c r="A159" s="12" t="s">
        <v>270</v>
      </c>
      <c r="B159" s="13" t="n">
        <v>46236</v>
      </c>
      <c r="C159" s="12" t="str">
        <f aca="false">IF(A159="","",IFERROR(INDEX(Events!$D$2:$D$67,MATCH(A159,Events!$A$2:$A$67,0)),"Unknown event ID"))</f>
        <v>Polish Elite Track Championships</v>
      </c>
      <c r="D159" s="12" t="s">
        <v>371</v>
      </c>
      <c r="E159" s="12" t="s">
        <v>59</v>
      </c>
      <c r="F159" s="12" t="s">
        <v>72</v>
      </c>
      <c r="G159" s="12" t="n">
        <v>2</v>
      </c>
      <c r="H159" s="12" t="s">
        <v>366</v>
      </c>
      <c r="I159" s="12"/>
      <c r="J159" s="12" t="s">
        <v>381</v>
      </c>
      <c r="K159" s="12" t="str">
        <f aca="false">IF(A159="","",IFERROR(IF(INDEX(Events!$J$2:$J$67,MATCH(A159,Events!$A$2:$A$67,0))="Yes",IF(ISNUMBER(SEARCH("Criterium final",D159)),"No","Yes"),"No"),""))</f>
        <v>Yes</v>
      </c>
      <c r="L159" s="12"/>
      <c r="M159" s="12" t="n">
        <f aca="false">IF(OR(A159="",F159=""),0,IF(COUNTIFS($A$2:A159,A159,$F$2:F159,F159)=1,1,0))</f>
        <v>0</v>
      </c>
      <c r="N159" s="12" t="str">
        <f aca="false">IF(A159="","",IFERROR(INDEX(Events!$F$2:$F$67,MATCH(A159,Events!$A$2:$A$67,0)),""))</f>
        <v>POL</v>
      </c>
      <c r="O159" s="12" t="n">
        <f aca="false">IF(AND(G159=1,K159="Yes",N159="POL"),IF(COUNTIFS($A$2:A159,A159,$D$2:D159,D159,$E$2:E159,E159,$G$2:G159,1)=1,1,0),0)</f>
        <v>0</v>
      </c>
      <c r="P159" s="12" t="n">
        <f aca="false">IF(AND(ISNUMBER(G159),K159="Yes",N159="POL"),IF(AND(G159&gt;=1,G159&lt;=3,COUNTIFS($A$2:A159,A159,$D$2:D159,D159,$E$2:E159,E159,$G$2:G159,G159)=1),1,0),0)</f>
        <v>1</v>
      </c>
    </row>
    <row r="160" customFormat="false" ht="15" hidden="false" customHeight="false" outlineLevel="0" collapsed="false">
      <c r="A160" s="12" t="s">
        <v>270</v>
      </c>
      <c r="B160" s="13" t="n">
        <v>46236</v>
      </c>
      <c r="C160" s="12" t="str">
        <f aca="false">IF(A160="","",IFERROR(INDEX(Events!$D$2:$D$67,MATCH(A160,Events!$A$2:$A$67,0)),"Unknown event ID"))</f>
        <v>Polish Elite Track Championships</v>
      </c>
      <c r="D160" s="12" t="s">
        <v>380</v>
      </c>
      <c r="E160" s="12" t="s">
        <v>59</v>
      </c>
      <c r="F160" s="12" t="s">
        <v>72</v>
      </c>
      <c r="G160" s="12" t="n">
        <v>2</v>
      </c>
      <c r="H160" s="12" t="s">
        <v>366</v>
      </c>
      <c r="I160" s="12"/>
      <c r="J160" s="12" t="s">
        <v>381</v>
      </c>
      <c r="K160" s="12" t="str">
        <f aca="false">IF(A160="","",IFERROR(IF(INDEX(Events!$J$2:$J$67,MATCH(A160,Events!$A$2:$A$67,0))="Yes",IF(ISNUMBER(SEARCH("Criterium final",D160)),"No","Yes"),"No"),""))</f>
        <v>Yes</v>
      </c>
      <c r="L160" s="12"/>
      <c r="M160" s="12" t="n">
        <f aca="false">IF(OR(A160="",F160=""),0,IF(COUNTIFS($A$2:A160,A160,$F$2:F160,F160)=1,1,0))</f>
        <v>0</v>
      </c>
      <c r="N160" s="12" t="str">
        <f aca="false">IF(A160="","",IFERROR(INDEX(Events!$F$2:$F$67,MATCH(A160,Events!$A$2:$A$67,0)),""))</f>
        <v>POL</v>
      </c>
      <c r="O160" s="12" t="n">
        <f aca="false">IF(AND(G160=1,K160="Yes",N160="POL"),IF(COUNTIFS($A$2:A160,A160,$D$2:D160,D160,$E$2:E160,E160,$G$2:G160,1)=1,1,0),0)</f>
        <v>0</v>
      </c>
      <c r="P160" s="12" t="n">
        <f aca="false">IF(AND(ISNUMBER(G160),K160="Yes",N160="POL"),IF(AND(G160&gt;=1,G160&lt;=3,COUNTIFS($A$2:A160,A160,$D$2:D160,D160,$E$2:E160,E160,$G$2:G160,G160)=1),1,0),0)</f>
        <v>1</v>
      </c>
    </row>
    <row r="161" customFormat="false" ht="15" hidden="false" customHeight="false" outlineLevel="0" collapsed="false">
      <c r="A161" s="12" t="s">
        <v>270</v>
      </c>
      <c r="B161" s="13" t="n">
        <v>46237</v>
      </c>
      <c r="C161" s="12" t="str">
        <f aca="false">IF(A161="","",IFERROR(INDEX(Events!$D$2:$D$67,MATCH(A161,Events!$A$2:$A$67,0)),"Unknown event ID"))</f>
        <v>Polish Elite Track Championships</v>
      </c>
      <c r="D161" s="12" t="s">
        <v>389</v>
      </c>
      <c r="E161" s="12" t="s">
        <v>59</v>
      </c>
      <c r="F161" s="12" t="s">
        <v>72</v>
      </c>
      <c r="G161" s="12" t="n">
        <v>3</v>
      </c>
      <c r="H161" s="12" t="s">
        <v>366</v>
      </c>
      <c r="I161" s="12"/>
      <c r="J161" s="12" t="s">
        <v>383</v>
      </c>
      <c r="K161" s="12" t="str">
        <f aca="false">IF(A161="","",IFERROR(IF(INDEX(Events!$J$2:$J$67,MATCH(A161,Events!$A$2:$A$67,0))="Yes",IF(ISNUMBER(SEARCH("Criterium final",D161)),"No","Yes"),"No"),""))</f>
        <v>Yes</v>
      </c>
      <c r="L161" s="12"/>
      <c r="M161" s="12" t="n">
        <f aca="false">IF(OR(A161="",F161=""),0,IF(COUNTIFS($A$2:A161,A161,$F$2:F161,F161)=1,1,0))</f>
        <v>0</v>
      </c>
      <c r="N161" s="12" t="str">
        <f aca="false">IF(A161="","",IFERROR(INDEX(Events!$F$2:$F$67,MATCH(A161,Events!$A$2:$A$67,0)),""))</f>
        <v>POL</v>
      </c>
      <c r="O161" s="12" t="n">
        <f aca="false">IF(AND(G161=1,K161="Yes",N161="POL"),IF(COUNTIFS($A$2:A161,A161,$D$2:D161,D161,$E$2:E161,E161,$G$2:G161,1)=1,1,0),0)</f>
        <v>0</v>
      </c>
      <c r="P161" s="12" t="n">
        <f aca="false">IF(AND(ISNUMBER(G161),K161="Yes",N161="POL"),IF(AND(G161&gt;=1,G161&lt;=3,COUNTIFS($A$2:A161,A161,$D$2:D161,D161,$E$2:E161,E161,$G$2:G161,G161)=1),1,0),0)</f>
        <v>1</v>
      </c>
    </row>
    <row r="162" customFormat="false" ht="15" hidden="false" customHeight="false" outlineLevel="0" collapsed="false">
      <c r="A162" s="12" t="s">
        <v>270</v>
      </c>
      <c r="B162" s="13" t="n">
        <v>46237</v>
      </c>
      <c r="C162" s="12" t="str">
        <f aca="false">IF(A162="","",IFERROR(INDEX(Events!$D$2:$D$67,MATCH(A162,Events!$A$2:$A$67,0)),"Unknown event ID"))</f>
        <v>Polish Elite Track Championships</v>
      </c>
      <c r="D162" s="12" t="s">
        <v>370</v>
      </c>
      <c r="E162" s="12" t="s">
        <v>59</v>
      </c>
      <c r="F162" s="12" t="s">
        <v>72</v>
      </c>
      <c r="G162" s="12" t="n">
        <v>1</v>
      </c>
      <c r="H162" s="12" t="s">
        <v>366</v>
      </c>
      <c r="I162" s="12" t="s">
        <v>435</v>
      </c>
      <c r="J162" s="12" t="s">
        <v>383</v>
      </c>
      <c r="K162" s="12" t="str">
        <f aca="false">IF(A162="","",IFERROR(IF(INDEX(Events!$J$2:$J$67,MATCH(A162,Events!$A$2:$A$67,0))="Yes",IF(ISNUMBER(SEARCH("Criterium final",D162)),"No","Yes"),"No"),""))</f>
        <v>Yes</v>
      </c>
      <c r="L162" s="12"/>
      <c r="M162" s="12" t="n">
        <f aca="false">IF(OR(A162="",F162=""),0,IF(COUNTIFS($A$2:A162,A162,$F$2:F162,F162)=1,1,0))</f>
        <v>0</v>
      </c>
      <c r="N162" s="12" t="str">
        <f aca="false">IF(A162="","",IFERROR(INDEX(Events!$F$2:$F$67,MATCH(A162,Events!$A$2:$A$67,0)),""))</f>
        <v>POL</v>
      </c>
      <c r="O162" s="12" t="n">
        <f aca="false">IF(AND(G162=1,K162="Yes",N162="POL"),IF(COUNTIFS($A$2:A162,A162,$D$2:D162,D162,$E$2:E162,E162,$G$2:G162,1)=1,1,0),0)</f>
        <v>1</v>
      </c>
      <c r="P162" s="12" t="n">
        <f aca="false">IF(AND(ISNUMBER(G162),K162="Yes",N162="POL"),IF(AND(G162&gt;=1,G162&lt;=3,COUNTIFS($A$2:A162,A162,$D$2:D162,D162,$E$2:E162,E162,$G$2:G162,G162)=1),1,0),0)</f>
        <v>1</v>
      </c>
    </row>
    <row r="163" customFormat="false" ht="15" hidden="false" customHeight="false" outlineLevel="0" collapsed="false">
      <c r="A163" s="12" t="s">
        <v>351</v>
      </c>
      <c r="B163" s="13" t="n">
        <v>46292</v>
      </c>
      <c r="C163" s="12" t="str">
        <f aca="false">IF(A163="","",IFERROR(INDEX(Events!$D$2:$D$67,MATCH(A163,Events!$A$2:$A$67,0)),"Unknown event ID"))</f>
        <v>Youth Polish Track Championships – non-Olympic events (MMP)</v>
      </c>
      <c r="D163" s="12" t="s">
        <v>389</v>
      </c>
      <c r="E163" s="12" t="s">
        <v>66</v>
      </c>
      <c r="F163" s="12" t="s">
        <v>72</v>
      </c>
      <c r="G163" s="12" t="n">
        <v>2</v>
      </c>
      <c r="H163" s="12" t="s">
        <v>366</v>
      </c>
      <c r="I163" s="12"/>
      <c r="J163" s="12" t="s">
        <v>431</v>
      </c>
      <c r="K163" s="12" t="str">
        <f aca="false">IF(A163="","",IFERROR(IF(INDEX(Events!$J$2:$J$67,MATCH(A163,Events!$A$2:$A$67,0))="Yes",IF(ISNUMBER(SEARCH("Criterium final",D163)),"No","Yes"),"No"),""))</f>
        <v>Yes</v>
      </c>
      <c r="L163" s="12"/>
      <c r="M163" s="12" t="n">
        <f aca="false">IF(OR(A163="",F163=""),0,IF(COUNTIFS($A$2:A163,A163,$F$2:F163,F163)=1,1,0))</f>
        <v>1</v>
      </c>
      <c r="N163" s="12" t="str">
        <f aca="false">IF(A163="","",IFERROR(INDEX(Events!$F$2:$F$67,MATCH(A163,Events!$A$2:$A$67,0)),""))</f>
        <v>POL</v>
      </c>
      <c r="O163" s="12" t="n">
        <f aca="false">IF(AND(G163=1,K163="Yes",N163="POL"),IF(COUNTIFS($A$2:A163,A163,$D$2:D163,D163,$E$2:E163,E163,$G$2:G163,1)=1,1,0),0)</f>
        <v>0</v>
      </c>
      <c r="P163" s="12" t="n">
        <f aca="false">IF(AND(ISNUMBER(G163),K163="Yes",N163="POL"),IF(AND(G163&gt;=1,G163&lt;=3,COUNTIFS($A$2:A163,A163,$D$2:D163,D163,$E$2:E163,E163,$G$2:G163,G163)=1),1,0),0)</f>
        <v>1</v>
      </c>
    </row>
    <row r="164" customFormat="false" ht="15" hidden="false" customHeight="false" outlineLevel="0" collapsed="false">
      <c r="A164" s="12" t="s">
        <v>351</v>
      </c>
      <c r="B164" s="13" t="n">
        <v>46292</v>
      </c>
      <c r="C164" s="12" t="str">
        <f aca="false">IF(A164="","",IFERROR(INDEX(Events!$D$2:$D$67,MATCH(A164,Events!$A$2:$A$67,0)),"Unknown event ID"))</f>
        <v>Youth Polish Track Championships – non-Olympic events (MMP)</v>
      </c>
      <c r="D164" s="12" t="s">
        <v>380</v>
      </c>
      <c r="E164" s="12" t="s">
        <v>66</v>
      </c>
      <c r="F164" s="12" t="s">
        <v>72</v>
      </c>
      <c r="G164" s="12" t="n">
        <v>2</v>
      </c>
      <c r="H164" s="12" t="s">
        <v>366</v>
      </c>
      <c r="I164" s="12"/>
      <c r="J164" s="12" t="s">
        <v>436</v>
      </c>
      <c r="K164" s="12" t="str">
        <f aca="false">IF(A164="","",IFERROR(IF(INDEX(Events!$J$2:$J$67,MATCH(A164,Events!$A$2:$A$67,0))="Yes",IF(ISNUMBER(SEARCH("Criterium final",D164)),"No","Yes"),"No"),""))</f>
        <v>Yes</v>
      </c>
      <c r="L164" s="12"/>
      <c r="M164" s="12" t="n">
        <f aca="false">IF(OR(A164="",F164=""),0,IF(COUNTIFS($A$2:A164,A164,$F$2:F164,F164)=1,1,0))</f>
        <v>0</v>
      </c>
      <c r="N164" s="12" t="str">
        <f aca="false">IF(A164="","",IFERROR(INDEX(Events!$F$2:$F$67,MATCH(A164,Events!$A$2:$A$67,0)),""))</f>
        <v>POL</v>
      </c>
      <c r="O164" s="12" t="n">
        <f aca="false">IF(AND(G164=1,K164="Yes",N164="POL"),IF(COUNTIFS($A$2:A164,A164,$D$2:D164,D164,$E$2:E164,E164,$G$2:G164,1)=1,1,0),0)</f>
        <v>0</v>
      </c>
      <c r="P164" s="12" t="n">
        <f aca="false">IF(AND(ISNUMBER(G164),K164="Yes",N164="POL"),IF(AND(G164&gt;=1,G164&lt;=3,COUNTIFS($A$2:A164,A164,$D$2:D164,D164,$E$2:E164,E164,$G$2:G164,G164)=1),1,0),0)</f>
        <v>1</v>
      </c>
    </row>
    <row r="165" customFormat="false" ht="15" hidden="false" customHeight="false" outlineLevel="0" collapsed="false">
      <c r="A165" s="12" t="s">
        <v>146</v>
      </c>
      <c r="B165" s="13" t="n">
        <v>46033</v>
      </c>
      <c r="C165" s="12" t="str">
        <f aca="false">IF(A165="","",IFERROR(INDEX(Events!$D$2:$D$67,MATCH(A165,Events!$A$2:$A$67,0)),"Unknown event ID"))</f>
        <v>Przełajowe Mistrzostwa Polski (Polish CX Championships)</v>
      </c>
      <c r="D165" s="12" t="s">
        <v>437</v>
      </c>
      <c r="E165" s="12" t="s">
        <v>66</v>
      </c>
      <c r="F165" s="12" t="s">
        <v>75</v>
      </c>
      <c r="G165" s="12" t="n">
        <v>1</v>
      </c>
      <c r="H165" s="12" t="s">
        <v>366</v>
      </c>
      <c r="I165" s="12" t="s">
        <v>438</v>
      </c>
      <c r="J165" s="12" t="s">
        <v>439</v>
      </c>
      <c r="K165" s="12" t="str">
        <f aca="false">IF(A165="","",IFERROR(IF(INDEX(Events!$J$2:$J$67,MATCH(A165,Events!$A$2:$A$67,0))="Yes",IF(ISNUMBER(SEARCH("Criterium final",D165)),"No","Yes"),"No"),""))</f>
        <v>Yes</v>
      </c>
      <c r="L165" s="12"/>
      <c r="M165" s="12" t="n">
        <f aca="false">IF(OR(A165="",F165=""),0,IF(COUNTIFS($A$2:A165,A165,$F$2:F165,F165)=1,1,0))</f>
        <v>1</v>
      </c>
      <c r="N165" s="12" t="str">
        <f aca="false">IF(A165="","",IFERROR(INDEX(Events!$F$2:$F$67,MATCH(A165,Events!$A$2:$A$67,0)),""))</f>
        <v>POL</v>
      </c>
      <c r="O165" s="12" t="n">
        <f aca="false">IF(AND(G165=1,K165="Yes",N165="POL"),IF(COUNTIFS($A$2:A165,A165,$D$2:D165,D165,$E$2:E165,E165,$G$2:G165,1)=1,1,0),0)</f>
        <v>1</v>
      </c>
      <c r="P165" s="12" t="n">
        <f aca="false">IF(AND(ISNUMBER(G165),K165="Yes",N165="POL"),IF(AND(G165&gt;=1,G165&lt;=3,COUNTIFS($A$2:A165,A165,$D$2:D165,D165,$E$2:E165,E165,$G$2:G165,G165)=1),1,0),0)</f>
        <v>1</v>
      </c>
    </row>
    <row r="166" customFormat="false" ht="15" hidden="false" customHeight="false" outlineLevel="0" collapsed="false">
      <c r="A166" s="12" t="s">
        <v>146</v>
      </c>
      <c r="B166" s="13" t="n">
        <v>46033</v>
      </c>
      <c r="C166" s="12" t="str">
        <f aca="false">IF(A166="","",IFERROR(INDEX(Events!$D$2:$D$67,MATCH(A166,Events!$A$2:$A$67,0)),"Unknown event ID"))</f>
        <v>Przełajowe Mistrzostwa Polski (Polish CX Championships)</v>
      </c>
      <c r="D166" s="12" t="s">
        <v>437</v>
      </c>
      <c r="E166" s="12" t="s">
        <v>59</v>
      </c>
      <c r="F166" s="12" t="s">
        <v>75</v>
      </c>
      <c r="G166" s="12" t="n">
        <v>2</v>
      </c>
      <c r="H166" s="12" t="s">
        <v>366</v>
      </c>
      <c r="I166" s="12"/>
      <c r="J166" s="12" t="s">
        <v>77</v>
      </c>
      <c r="K166" s="12" t="str">
        <f aca="false">IF(A166="","",IFERROR(IF(INDEX(Events!$J$2:$J$67,MATCH(A166,Events!$A$2:$A$67,0))="Yes",IF(ISNUMBER(SEARCH("Criterium final",D166)),"No","Yes"),"No"),""))</f>
        <v>Yes</v>
      </c>
      <c r="L166" s="12"/>
      <c r="M166" s="12" t="n">
        <f aca="false">IF(OR(A166="",F166=""),0,IF(COUNTIFS($A$2:A166,A166,$F$2:F166,F166)=1,1,0))</f>
        <v>0</v>
      </c>
      <c r="N166" s="12" t="str">
        <f aca="false">IF(A166="","",IFERROR(INDEX(Events!$F$2:$F$67,MATCH(A166,Events!$A$2:$A$67,0)),""))</f>
        <v>POL</v>
      </c>
      <c r="O166" s="12" t="n">
        <f aca="false">IF(AND(G166=1,K166="Yes",N166="POL"),IF(COUNTIFS($A$2:A166,A166,$D$2:D166,D166,$E$2:E166,E166,$G$2:G166,1)=1,1,0),0)</f>
        <v>0</v>
      </c>
      <c r="P166" s="12" t="n">
        <f aca="false">IF(AND(ISNUMBER(G166),K166="Yes",N166="POL"),IF(AND(G166&gt;=1,G166&lt;=3,COUNTIFS($A$2:A166,A166,$D$2:D166,D166,$E$2:E166,E166,$G$2:G166,G166)=1),1,0),0)</f>
        <v>1</v>
      </c>
    </row>
    <row r="167" customFormat="false" ht="15" hidden="false" customHeight="false" outlineLevel="0" collapsed="false">
      <c r="A167" s="12" t="s">
        <v>146</v>
      </c>
      <c r="B167" s="13" t="n">
        <v>46032</v>
      </c>
      <c r="C167" s="12" t="str">
        <f aca="false">IF(A167="","",IFERROR(INDEX(Events!$D$2:$D$67,MATCH(A167,Events!$A$2:$A$67,0)),"Unknown event ID"))</f>
        <v>Przełajowe Mistrzostwa Polski (Polish CX Championships)</v>
      </c>
      <c r="D167" s="12" t="s">
        <v>440</v>
      </c>
      <c r="E167" s="12" t="s">
        <v>441</v>
      </c>
      <c r="F167" s="12" t="s">
        <v>75</v>
      </c>
      <c r="G167" s="12" t="n">
        <v>3</v>
      </c>
      <c r="H167" s="12" t="s">
        <v>366</v>
      </c>
      <c r="I167" s="12" t="s">
        <v>442</v>
      </c>
      <c r="J167" s="12" t="s">
        <v>439</v>
      </c>
      <c r="K167" s="12" t="str">
        <f aca="false">IF(A167="","",IFERROR(IF(INDEX(Events!$J$2:$J$67,MATCH(A167,Events!$A$2:$A$67,0))="Yes",IF(ISNUMBER(SEARCH("Criterium final",D167)),"No","Yes"),"No"),""))</f>
        <v>Yes</v>
      </c>
      <c r="L167" s="12"/>
      <c r="M167" s="12" t="n">
        <f aca="false">IF(OR(A167="",F167=""),0,IF(COUNTIFS($A$2:A167,A167,$F$2:F167,F167)=1,1,0))</f>
        <v>0</v>
      </c>
      <c r="N167" s="12" t="str">
        <f aca="false">IF(A167="","",IFERROR(INDEX(Events!$F$2:$F$67,MATCH(A167,Events!$A$2:$A$67,0)),""))</f>
        <v>POL</v>
      </c>
      <c r="O167" s="12" t="n">
        <f aca="false">IF(AND(G167=1,K167="Yes",N167="POL"),IF(COUNTIFS($A$2:A167,A167,$D$2:D167,D167,$E$2:E167,E167,$G$2:G167,1)=1,1,0),0)</f>
        <v>0</v>
      </c>
      <c r="P167" s="12" t="n">
        <f aca="false">IF(AND(ISNUMBER(G167),K167="Yes",N167="POL"),IF(AND(G167&gt;=1,G167&lt;=3,COUNTIFS($A$2:A167,A167,$D$2:D167,D167,$E$2:E167,E167,$G$2:G167,G167)=1),1,0),0)</f>
        <v>1</v>
      </c>
    </row>
    <row r="168" customFormat="false" ht="15" hidden="false" customHeight="false" outlineLevel="0" collapsed="false">
      <c r="A168" s="12" t="s">
        <v>166</v>
      </c>
      <c r="B168" s="13" t="n">
        <v>46085</v>
      </c>
      <c r="C168" s="12" t="str">
        <f aca="false">IF(A168="","",IFERROR(INDEX(Events!$D$2:$D$67,MATCH(A168,Events!$A$2:$A$67,0)),"Unknown event ID"))</f>
        <v>UMAG Classic Ladies</v>
      </c>
      <c r="D168" s="12" t="s">
        <v>365</v>
      </c>
      <c r="E168" s="12" t="s">
        <v>59</v>
      </c>
      <c r="F168" s="12" t="s">
        <v>75</v>
      </c>
      <c r="G168" s="12" t="n">
        <v>55</v>
      </c>
      <c r="H168" s="12" t="s">
        <v>366</v>
      </c>
      <c r="I168" s="12"/>
      <c r="J168" s="12" t="s">
        <v>77</v>
      </c>
      <c r="K168" s="12" t="str">
        <f aca="false">IF(A168="","",IFERROR(IF(INDEX(Events!$J$2:$J$67,MATCH(A168,Events!$A$2:$A$67,0))="Yes",IF(ISNUMBER(SEARCH("Criterium final",D168)),"No","Yes"),"No"),""))</f>
        <v>No</v>
      </c>
      <c r="L168" s="12"/>
      <c r="M168" s="12" t="n">
        <f aca="false">IF(OR(A168="",F168=""),0,IF(COUNTIFS($A$2:A168,A168,$F$2:F168,F168)=1,1,0))</f>
        <v>1</v>
      </c>
      <c r="N168" s="12" t="str">
        <f aca="false">IF(A168="","",IFERROR(INDEX(Events!$F$2:$F$67,MATCH(A168,Events!$A$2:$A$67,0)),""))</f>
        <v>CRO</v>
      </c>
      <c r="O168" s="12" t="n">
        <f aca="false">IF(AND(G168=1,K168="Yes",N168="POL"),IF(COUNTIFS($A$2:A168,A168,$D$2:D168,D168,$E$2:E168,E168,$G$2:G168,1)=1,1,0),0)</f>
        <v>0</v>
      </c>
      <c r="P168" s="12" t="n">
        <f aca="false">IF(AND(ISNUMBER(G168),K168="Yes",N168="POL"),IF(AND(G168&gt;=1,G168&lt;=3,COUNTIFS($A$2:A168,A168,$D$2:D168,D168,$E$2:E168,E168,$G$2:G168,G168)=1),1,0),0)</f>
        <v>0</v>
      </c>
    </row>
    <row r="169" customFormat="false" ht="15" hidden="false" customHeight="false" outlineLevel="0" collapsed="false">
      <c r="A169" s="12" t="s">
        <v>171</v>
      </c>
      <c r="B169" s="13" t="n">
        <v>46089</v>
      </c>
      <c r="C169" s="12" t="str">
        <f aca="false">IF(A169="","",IFERROR(INDEX(Events!$D$2:$D$67,MATCH(A169,Events!$A$2:$A$67,0)),"Unknown event ID"))</f>
        <v>POREČ Classic Ladies</v>
      </c>
      <c r="D169" s="12" t="s">
        <v>365</v>
      </c>
      <c r="E169" s="12" t="s">
        <v>59</v>
      </c>
      <c r="F169" s="12" t="s">
        <v>75</v>
      </c>
      <c r="G169" s="12" t="n">
        <v>68</v>
      </c>
      <c r="H169" s="12" t="s">
        <v>366</v>
      </c>
      <c r="I169" s="12"/>
      <c r="J169" s="12" t="s">
        <v>77</v>
      </c>
      <c r="K169" s="12" t="str">
        <f aca="false">IF(A169="","",IFERROR(IF(INDEX(Events!$J$2:$J$67,MATCH(A169,Events!$A$2:$A$67,0))="Yes",IF(ISNUMBER(SEARCH("Criterium final",D169)),"No","Yes"),"No"),""))</f>
        <v>No</v>
      </c>
      <c r="L169" s="12"/>
      <c r="M169" s="12" t="n">
        <f aca="false">IF(OR(A169="",F169=""),0,IF(COUNTIFS($A$2:A169,A169,$F$2:F169,F169)=1,1,0))</f>
        <v>1</v>
      </c>
      <c r="N169" s="12" t="str">
        <f aca="false">IF(A169="","",IFERROR(INDEX(Events!$F$2:$F$67,MATCH(A169,Events!$A$2:$A$67,0)),""))</f>
        <v>CRO</v>
      </c>
      <c r="O169" s="12" t="n">
        <f aca="false">IF(AND(G169=1,K169="Yes",N169="POL"),IF(COUNTIFS($A$2:A169,A169,$D$2:D169,D169,$E$2:E169,E169,$G$2:G169,1)=1,1,0),0)</f>
        <v>0</v>
      </c>
      <c r="P169" s="12" t="n">
        <f aca="false">IF(AND(ISNUMBER(G169),K169="Yes",N169="POL"),IF(AND(G169&gt;=1,G169&lt;=3,COUNTIFS($A$2:A169,A169,$D$2:D169,D169,$E$2:E169,E169,$G$2:G169,G169)=1),1,0),0)</f>
        <v>0</v>
      </c>
    </row>
    <row r="170" customFormat="false" ht="15" hidden="false" customHeight="false" outlineLevel="0" collapsed="false">
      <c r="A170" s="12" t="s">
        <v>174</v>
      </c>
      <c r="B170" s="13" t="n">
        <v>46103</v>
      </c>
      <c r="C170" s="12" t="str">
        <f aca="false">IF(A170="","",IFERROR(INDEX(Events!$D$2:$D$67,MATCH(A170,Events!$A$2:$A$67,0)),"Unknown event ID"))</f>
        <v>Midwest Cycling Classic</v>
      </c>
      <c r="D170" s="12" t="s">
        <v>365</v>
      </c>
      <c r="E170" s="12" t="s">
        <v>59</v>
      </c>
      <c r="F170" s="12" t="s">
        <v>75</v>
      </c>
      <c r="G170" s="12" t="n">
        <v>76</v>
      </c>
      <c r="H170" s="12" t="s">
        <v>366</v>
      </c>
      <c r="I170" s="12"/>
      <c r="J170" s="12" t="s">
        <v>77</v>
      </c>
      <c r="K170" s="12" t="str">
        <f aca="false">IF(A170="","",IFERROR(IF(INDEX(Events!$J$2:$J$67,MATCH(A170,Events!$A$2:$A$67,0))="Yes",IF(ISNUMBER(SEARCH("Criterium final",D170)),"No","Yes"),"No"),""))</f>
        <v>No</v>
      </c>
      <c r="L170" s="12"/>
      <c r="M170" s="12" t="n">
        <f aca="false">IF(OR(A170="",F170=""),0,IF(COUNTIFS($A$2:A170,A170,$F$2:F170,F170)=1,1,0))</f>
        <v>1</v>
      </c>
      <c r="N170" s="12" t="str">
        <f aca="false">IF(A170="","",IFERROR(INDEX(Events!$F$2:$F$67,MATCH(A170,Events!$A$2:$A$67,0)),""))</f>
        <v>BEL</v>
      </c>
      <c r="O170" s="12" t="n">
        <f aca="false">IF(AND(G170=1,K170="Yes",N170="POL"),IF(COUNTIFS($A$2:A170,A170,$D$2:D170,D170,$E$2:E170,E170,$G$2:G170,1)=1,1,0),0)</f>
        <v>0</v>
      </c>
      <c r="P170" s="12" t="n">
        <f aca="false">IF(AND(ISNUMBER(G170),K170="Yes",N170="POL"),IF(AND(G170&gt;=1,G170&lt;=3,COUNTIFS($A$2:A170,A170,$D$2:D170,D170,$E$2:E170,E170,$G$2:G170,G170)=1),1,0),0)</f>
        <v>0</v>
      </c>
    </row>
    <row r="171" customFormat="false" ht="15" hidden="false" customHeight="false" outlineLevel="0" collapsed="false">
      <c r="A171" s="12" t="s">
        <v>181</v>
      </c>
      <c r="B171" s="13" t="n">
        <v>46116</v>
      </c>
      <c r="C171" s="12" t="str">
        <f aca="false">IF(A171="","",IFERROR(INDEX(Events!$D$2:$D$67,MATCH(A171,Events!$A$2:$A$67,0)),"Unknown event ID"))</f>
        <v>NXT Classic</v>
      </c>
      <c r="D171" s="12" t="s">
        <v>365</v>
      </c>
      <c r="E171" s="12" t="s">
        <v>59</v>
      </c>
      <c r="F171" s="12" t="s">
        <v>75</v>
      </c>
      <c r="G171" s="12"/>
      <c r="H171" s="12" t="s">
        <v>33</v>
      </c>
      <c r="I171" s="12"/>
      <c r="J171" s="12" t="s">
        <v>77</v>
      </c>
      <c r="K171" s="12" t="str">
        <f aca="false">IF(A171="","",IFERROR(IF(INDEX(Events!$J$2:$J$67,MATCH(A171,Events!$A$2:$A$67,0))="Yes",IF(ISNUMBER(SEARCH("Criterium final",D171)),"No","Yes"),"No"),""))</f>
        <v>No</v>
      </c>
      <c r="L171" s="12"/>
      <c r="M171" s="12" t="n">
        <f aca="false">IF(OR(A171="",F171=""),0,IF(COUNTIFS($A$2:A171,A171,$F$2:F171,F171)=1,1,0))</f>
        <v>1</v>
      </c>
      <c r="N171" s="12" t="str">
        <f aca="false">IF(A171="","",IFERROR(INDEX(Events!$F$2:$F$67,MATCH(A171,Events!$A$2:$A$67,0)),""))</f>
        <v>NED</v>
      </c>
      <c r="O171" s="12" t="n">
        <f aca="false">IF(AND(G171=1,K171="Yes",N171="POL"),IF(COUNTIFS($A$2:A171,A171,$D$2:D171,D171,$E$2:E171,E171,$G$2:G171,1)=1,1,0),0)</f>
        <v>0</v>
      </c>
      <c r="P171" s="12" t="n">
        <f aca="false">IF(AND(ISNUMBER(G171),K171="Yes",N171="POL"),IF(AND(G171&gt;=1,G171&lt;=3,COUNTIFS($A$2:A171,A171,$D$2:D171,D171,$E$2:E171,E171,$G$2:G171,G171)=1),1,0),0)</f>
        <v>0</v>
      </c>
    </row>
    <row r="172" customFormat="false" ht="15" hidden="false" customHeight="false" outlineLevel="0" collapsed="false">
      <c r="A172" s="12" t="s">
        <v>188</v>
      </c>
      <c r="B172" s="13" t="n">
        <v>46120</v>
      </c>
      <c r="C172" s="12" t="str">
        <f aca="false">IF(A172="","",IFERROR(INDEX(Events!$D$2:$D$67,MATCH(A172,Events!$A$2:$A$67,0)),"Unknown event ID"))</f>
        <v>Scheldeprijs Vrouwen Elite</v>
      </c>
      <c r="D172" s="12" t="s">
        <v>365</v>
      </c>
      <c r="E172" s="12" t="s">
        <v>59</v>
      </c>
      <c r="F172" s="12" t="s">
        <v>75</v>
      </c>
      <c r="G172" s="12"/>
      <c r="H172" s="12" t="s">
        <v>33</v>
      </c>
      <c r="I172" s="12"/>
      <c r="J172" s="12" t="s">
        <v>77</v>
      </c>
      <c r="K172" s="12" t="str">
        <f aca="false">IF(A172="","",IFERROR(IF(INDEX(Events!$J$2:$J$67,MATCH(A172,Events!$A$2:$A$67,0))="Yes",IF(ISNUMBER(SEARCH("Criterium final",D172)),"No","Yes"),"No"),""))</f>
        <v>No</v>
      </c>
      <c r="L172" s="12"/>
      <c r="M172" s="12" t="n">
        <f aca="false">IF(OR(A172="",F172=""),0,IF(COUNTIFS($A$2:A172,A172,$F$2:F172,F172)=1,1,0))</f>
        <v>1</v>
      </c>
      <c r="N172" s="12" t="str">
        <f aca="false">IF(A172="","",IFERROR(INDEX(Events!$F$2:$F$67,MATCH(A172,Events!$A$2:$A$67,0)),""))</f>
        <v>BEL</v>
      </c>
      <c r="O172" s="12" t="n">
        <f aca="false">IF(AND(G172=1,K172="Yes",N172="POL"),IF(COUNTIFS($A$2:A172,A172,$D$2:D172,D172,$E$2:E172,E172,$G$2:G172,1)=1,1,0),0)</f>
        <v>0</v>
      </c>
      <c r="P172" s="12" t="n">
        <f aca="false">IF(AND(ISNUMBER(G172),K172="Yes",N172="POL"),IF(AND(G172&gt;=1,G172&lt;=3,COUNTIFS($A$2:A172,A172,$D$2:D172,D172,$E$2:E172,E172,$G$2:G172,G172)=1),1,0),0)</f>
        <v>0</v>
      </c>
    </row>
    <row r="173" customFormat="false" ht="15" hidden="false" customHeight="false" outlineLevel="0" collapsed="false">
      <c r="A173" s="12" t="s">
        <v>193</v>
      </c>
      <c r="B173" s="13" t="n">
        <v>46129</v>
      </c>
      <c r="C173" s="12" t="str">
        <f aca="false">IF(A173="","",IFERROR(INDEX(Events!$D$2:$D$67,MATCH(A173,Events!$A$2:$A$67,0)),"Unknown event ID"))</f>
        <v>De Brabantse Pijl</v>
      </c>
      <c r="D173" s="12" t="s">
        <v>365</v>
      </c>
      <c r="E173" s="12" t="s">
        <v>59</v>
      </c>
      <c r="F173" s="12" t="s">
        <v>75</v>
      </c>
      <c r="G173" s="12"/>
      <c r="H173" s="12" t="s">
        <v>33</v>
      </c>
      <c r="I173" s="12"/>
      <c r="J173" s="12" t="s">
        <v>77</v>
      </c>
      <c r="K173" s="12" t="str">
        <f aca="false">IF(A173="","",IFERROR(IF(INDEX(Events!$J$2:$J$67,MATCH(A173,Events!$A$2:$A$67,0))="Yes",IF(ISNUMBER(SEARCH("Criterium final",D173)),"No","Yes"),"No"),""))</f>
        <v>No</v>
      </c>
      <c r="L173" s="12"/>
      <c r="M173" s="12" t="n">
        <f aca="false">IF(OR(A173="",F173=""),0,IF(COUNTIFS($A$2:A173,A173,$F$2:F173,F173)=1,1,0))</f>
        <v>1</v>
      </c>
      <c r="N173" s="12" t="str">
        <f aca="false">IF(A173="","",IFERROR(INDEX(Events!$F$2:$F$67,MATCH(A173,Events!$A$2:$A$67,0)),""))</f>
        <v>BEL</v>
      </c>
      <c r="O173" s="12" t="n">
        <f aca="false">IF(AND(G173=1,K173="Yes",N173="POL"),IF(COUNTIFS($A$2:A173,A173,$D$2:D173,D173,$E$2:E173,E173,$G$2:G173,1)=1,1,0),0)</f>
        <v>0</v>
      </c>
      <c r="P173" s="12" t="n">
        <f aca="false">IF(AND(ISNUMBER(G173),K173="Yes",N173="POL"),IF(AND(G173&gt;=1,G173&lt;=3,COUNTIFS($A$2:A173,A173,$D$2:D173,D173,$E$2:E173,E173,$G$2:G173,G173)=1),1,0),0)</f>
        <v>0</v>
      </c>
    </row>
    <row r="174" customFormat="false" ht="15" hidden="false" customHeight="false" outlineLevel="0" collapsed="false">
      <c r="A174" s="12" t="s">
        <v>204</v>
      </c>
      <c r="B174" s="13" t="n">
        <v>46137</v>
      </c>
      <c r="C174" s="12" t="str">
        <f aca="false">IF(A174="","",IFERROR(INDEX(Events!$D$2:$D$67,MATCH(A174,Events!$A$2:$A$67,0)),"Unknown event ID"))</f>
        <v>Polish Cup (road)</v>
      </c>
      <c r="D174" s="12" t="s">
        <v>391</v>
      </c>
      <c r="E174" s="12" t="s">
        <v>59</v>
      </c>
      <c r="F174" s="12" t="s">
        <v>75</v>
      </c>
      <c r="G174" s="12" t="n">
        <v>2</v>
      </c>
      <c r="H174" s="12" t="s">
        <v>366</v>
      </c>
      <c r="I174" s="12"/>
      <c r="J174" s="12" t="s">
        <v>392</v>
      </c>
      <c r="K174" s="12" t="str">
        <f aca="false">IF(A174="","",IFERROR(IF(INDEX(Events!$J$2:$J$67,MATCH(A174,Events!$A$2:$A$67,0))="Yes",IF(ISNUMBER(SEARCH("Criterium final",D174)),"No","Yes"),"No"),""))</f>
        <v>No</v>
      </c>
      <c r="L174" s="12"/>
      <c r="M174" s="12" t="n">
        <f aca="false">IF(OR(A174="",F174=""),0,IF(COUNTIFS($A$2:A174,A174,$F$2:F174,F174)=1,1,0))</f>
        <v>1</v>
      </c>
      <c r="N174" s="12" t="str">
        <f aca="false">IF(A174="","",IFERROR(INDEX(Events!$F$2:$F$67,MATCH(A174,Events!$A$2:$A$67,0)),""))</f>
        <v>POL</v>
      </c>
      <c r="O174" s="12" t="n">
        <f aca="false">IF(AND(G174=1,K174="Yes",N174="POL"),IF(COUNTIFS($A$2:A174,A174,$D$2:D174,D174,$E$2:E174,E174,$G$2:G174,1)=1,1,0),0)</f>
        <v>0</v>
      </c>
      <c r="P174" s="12" t="n">
        <f aca="false">IF(AND(ISNUMBER(G174),K174="Yes",N174="POL"),IF(AND(G174&gt;=1,G174&lt;=3,COUNTIFS($A$2:A174,A174,$D$2:D174,D174,$E$2:E174,E174,$G$2:G174,G174)=1),1,0),0)</f>
        <v>0</v>
      </c>
    </row>
    <row r="175" customFormat="false" ht="15" hidden="false" customHeight="false" outlineLevel="0" collapsed="false">
      <c r="A175" s="12" t="s">
        <v>204</v>
      </c>
      <c r="B175" s="13" t="n">
        <v>46137</v>
      </c>
      <c r="C175" s="12" t="str">
        <f aca="false">IF(A175="","",IFERROR(INDEX(Events!$D$2:$D$67,MATCH(A175,Events!$A$2:$A$67,0)),"Unknown event ID"))</f>
        <v>Polish Cup (road)</v>
      </c>
      <c r="D175" s="12" t="s">
        <v>391</v>
      </c>
      <c r="E175" s="12" t="s">
        <v>66</v>
      </c>
      <c r="F175" s="12" t="s">
        <v>75</v>
      </c>
      <c r="G175" s="12" t="n">
        <v>2</v>
      </c>
      <c r="H175" s="12" t="s">
        <v>366</v>
      </c>
      <c r="I175" s="12"/>
      <c r="J175" s="12" t="s">
        <v>392</v>
      </c>
      <c r="K175" s="12" t="str">
        <f aca="false">IF(A175="","",IFERROR(IF(INDEX(Events!$J$2:$J$67,MATCH(A175,Events!$A$2:$A$67,0))="Yes",IF(ISNUMBER(SEARCH("Criterium final",D175)),"No","Yes"),"No"),""))</f>
        <v>No</v>
      </c>
      <c r="L175" s="12"/>
      <c r="M175" s="12" t="n">
        <f aca="false">IF(OR(A175="",F175=""),0,IF(COUNTIFS($A$2:A175,A175,$F$2:F175,F175)=1,1,0))</f>
        <v>0</v>
      </c>
      <c r="N175" s="12" t="str">
        <f aca="false">IF(A175="","",IFERROR(INDEX(Events!$F$2:$F$67,MATCH(A175,Events!$A$2:$A$67,0)),""))</f>
        <v>POL</v>
      </c>
      <c r="O175" s="12" t="n">
        <f aca="false">IF(AND(G175=1,K175="Yes",N175="POL"),IF(COUNTIFS($A$2:A175,A175,$D$2:D175,D175,$E$2:E175,E175,$G$2:G175,1)=1,1,0),0)</f>
        <v>0</v>
      </c>
      <c r="P175" s="12" t="n">
        <f aca="false">IF(AND(ISNUMBER(G175),K175="Yes",N175="POL"),IF(AND(G175&gt;=1,G175&lt;=3,COUNTIFS($A$2:A175,A175,$D$2:D175,D175,$E$2:E175,E175,$G$2:G175,G175)=1),1,0),0)</f>
        <v>0</v>
      </c>
    </row>
    <row r="176" customFormat="false" ht="15" hidden="false" customHeight="false" outlineLevel="0" collapsed="false">
      <c r="A176" s="12" t="s">
        <v>204</v>
      </c>
      <c r="B176" s="13" t="n">
        <v>46138</v>
      </c>
      <c r="C176" s="12" t="str">
        <f aca="false">IF(A176="","",IFERROR(INDEX(Events!$D$2:$D$67,MATCH(A176,Events!$A$2:$A$67,0)),"Unknown event ID"))</f>
        <v>Polish Cup (road)</v>
      </c>
      <c r="D176" s="12" t="s">
        <v>393</v>
      </c>
      <c r="E176" s="12" t="s">
        <v>59</v>
      </c>
      <c r="F176" s="12" t="s">
        <v>75</v>
      </c>
      <c r="G176" s="12" t="n">
        <v>3</v>
      </c>
      <c r="H176" s="12" t="s">
        <v>366</v>
      </c>
      <c r="I176" s="12"/>
      <c r="J176" s="12" t="s">
        <v>392</v>
      </c>
      <c r="K176" s="12" t="str">
        <f aca="false">IF(A176="","",IFERROR(IF(INDEX(Events!$J$2:$J$67,MATCH(A176,Events!$A$2:$A$67,0))="Yes",IF(ISNUMBER(SEARCH("Criterium final",D176)),"No","Yes"),"No"),""))</f>
        <v>No</v>
      </c>
      <c r="L176" s="12"/>
      <c r="M176" s="12" t="n">
        <f aca="false">IF(OR(A176="",F176=""),0,IF(COUNTIFS($A$2:A176,A176,$F$2:F176,F176)=1,1,0))</f>
        <v>0</v>
      </c>
      <c r="N176" s="12" t="str">
        <f aca="false">IF(A176="","",IFERROR(INDEX(Events!$F$2:$F$67,MATCH(A176,Events!$A$2:$A$67,0)),""))</f>
        <v>POL</v>
      </c>
      <c r="O176" s="12" t="n">
        <f aca="false">IF(AND(G176=1,K176="Yes",N176="POL"),IF(COUNTIFS($A$2:A176,A176,$D$2:D176,D176,$E$2:E176,E176,$G$2:G176,1)=1,1,0),0)</f>
        <v>0</v>
      </c>
      <c r="P176" s="12" t="n">
        <f aca="false">IF(AND(ISNUMBER(G176),K176="Yes",N176="POL"),IF(AND(G176&gt;=1,G176&lt;=3,COUNTIFS($A$2:A176,A176,$D$2:D176,D176,$E$2:E176,E176,$G$2:G176,G176)=1),1,0),0)</f>
        <v>0</v>
      </c>
    </row>
    <row r="177" customFormat="false" ht="15" hidden="false" customHeight="false" outlineLevel="0" collapsed="false">
      <c r="A177" s="12" t="s">
        <v>207</v>
      </c>
      <c r="B177" s="13" t="n">
        <v>46142</v>
      </c>
      <c r="C177" s="12" t="str">
        <f aca="false">IF(A177="","",IFERROR(INDEX(Events!$D$2:$D$67,MATCH(A177,Events!$A$2:$A$67,0)),"Unknown event ID"))</f>
        <v>Gracia Orlová</v>
      </c>
      <c r="D177" s="12" t="s">
        <v>377</v>
      </c>
      <c r="E177" s="12" t="s">
        <v>59</v>
      </c>
      <c r="F177" s="12" t="s">
        <v>75</v>
      </c>
      <c r="G177" s="12" t="n">
        <v>90</v>
      </c>
      <c r="H177" s="12" t="s">
        <v>366</v>
      </c>
      <c r="I177" s="12"/>
      <c r="J177" s="12" t="s">
        <v>77</v>
      </c>
      <c r="K177" s="12" t="str">
        <f aca="false">IF(A177="","",IFERROR(IF(INDEX(Events!$J$2:$J$67,MATCH(A177,Events!$A$2:$A$67,0))="Yes",IF(ISNUMBER(SEARCH("Criterium final",D177)),"No","Yes"),"No"),""))</f>
        <v>No</v>
      </c>
      <c r="L177" s="12"/>
      <c r="M177" s="12" t="n">
        <f aca="false">IF(OR(A177="",F177=""),0,IF(COUNTIFS($A$2:A177,A177,$F$2:F177,F177)=1,1,0))</f>
        <v>1</v>
      </c>
      <c r="N177" s="12" t="str">
        <f aca="false">IF(A177="","",IFERROR(INDEX(Events!$F$2:$F$67,MATCH(A177,Events!$A$2:$A$67,0)),""))</f>
        <v>CZE</v>
      </c>
      <c r="O177" s="12" t="n">
        <f aca="false">IF(AND(G177=1,K177="Yes",N177="POL"),IF(COUNTIFS($A$2:A177,A177,$D$2:D177,D177,$E$2:E177,E177,$G$2:G177,1)=1,1,0),0)</f>
        <v>0</v>
      </c>
      <c r="P177" s="12" t="n">
        <f aca="false">IF(AND(ISNUMBER(G177),K177="Yes",N177="POL"),IF(AND(G177&gt;=1,G177&lt;=3,COUNTIFS($A$2:A177,A177,$D$2:D177,D177,$E$2:E177,E177,$G$2:G177,G177)=1),1,0),0)</f>
        <v>0</v>
      </c>
    </row>
    <row r="178" customFormat="false" ht="15" hidden="false" customHeight="false" outlineLevel="0" collapsed="false">
      <c r="A178" s="12" t="s">
        <v>207</v>
      </c>
      <c r="B178" s="13" t="n">
        <v>46143</v>
      </c>
      <c r="C178" s="12" t="str">
        <f aca="false">IF(A178="","",IFERROR(INDEX(Events!$D$2:$D$67,MATCH(A178,Events!$A$2:$A$67,0)),"Unknown event ID"))</f>
        <v>Gracia Orlová</v>
      </c>
      <c r="D178" s="12" t="s">
        <v>373</v>
      </c>
      <c r="E178" s="12" t="s">
        <v>59</v>
      </c>
      <c r="F178" s="12" t="s">
        <v>75</v>
      </c>
      <c r="G178" s="12" t="n">
        <v>76</v>
      </c>
      <c r="H178" s="12" t="s">
        <v>366</v>
      </c>
      <c r="I178" s="12"/>
      <c r="J178" s="12" t="s">
        <v>77</v>
      </c>
      <c r="K178" s="12" t="str">
        <f aca="false">IF(A178="","",IFERROR(IF(INDEX(Events!$J$2:$J$67,MATCH(A178,Events!$A$2:$A$67,0))="Yes",IF(ISNUMBER(SEARCH("Criterium final",D178)),"No","Yes"),"No"),""))</f>
        <v>No</v>
      </c>
      <c r="L178" s="12"/>
      <c r="M178" s="12" t="n">
        <f aca="false">IF(OR(A178="",F178=""),0,IF(COUNTIFS($A$2:A178,A178,$F$2:F178,F178)=1,1,0))</f>
        <v>0</v>
      </c>
      <c r="N178" s="12" t="str">
        <f aca="false">IF(A178="","",IFERROR(INDEX(Events!$F$2:$F$67,MATCH(A178,Events!$A$2:$A$67,0)),""))</f>
        <v>CZE</v>
      </c>
      <c r="O178" s="12" t="n">
        <f aca="false">IF(AND(G178=1,K178="Yes",N178="POL"),IF(COUNTIFS($A$2:A178,A178,$D$2:D178,D178,$E$2:E178,E178,$G$2:G178,1)=1,1,0),0)</f>
        <v>0</v>
      </c>
      <c r="P178" s="12" t="n">
        <f aca="false">IF(AND(ISNUMBER(G178),K178="Yes",N178="POL"),IF(AND(G178&gt;=1,G178&lt;=3,COUNTIFS($A$2:A178,A178,$D$2:D178,D178,$E$2:E178,E178,$G$2:G178,G178)=1),1,0),0)</f>
        <v>0</v>
      </c>
    </row>
    <row r="179" customFormat="false" ht="15" hidden="false" customHeight="false" outlineLevel="0" collapsed="false">
      <c r="A179" s="12" t="s">
        <v>207</v>
      </c>
      <c r="B179" s="13" t="n">
        <v>46144</v>
      </c>
      <c r="C179" s="12" t="str">
        <f aca="false">IF(A179="","",IFERROR(INDEX(Events!$D$2:$D$67,MATCH(A179,Events!$A$2:$A$67,0)),"Unknown event ID"))</f>
        <v>Gracia Orlová</v>
      </c>
      <c r="D179" s="12" t="s">
        <v>374</v>
      </c>
      <c r="E179" s="12" t="s">
        <v>59</v>
      </c>
      <c r="F179" s="12" t="s">
        <v>75</v>
      </c>
      <c r="G179" s="12" t="n">
        <v>21</v>
      </c>
      <c r="H179" s="12" t="s">
        <v>366</v>
      </c>
      <c r="I179" s="12"/>
      <c r="J179" s="12" t="s">
        <v>77</v>
      </c>
      <c r="K179" s="12" t="str">
        <f aca="false">IF(A179="","",IFERROR(IF(INDEX(Events!$J$2:$J$67,MATCH(A179,Events!$A$2:$A$67,0))="Yes",IF(ISNUMBER(SEARCH("Criterium final",D179)),"No","Yes"),"No"),""))</f>
        <v>No</v>
      </c>
      <c r="L179" s="12"/>
      <c r="M179" s="12" t="n">
        <f aca="false">IF(OR(A179="",F179=""),0,IF(COUNTIFS($A$2:A179,A179,$F$2:F179,F179)=1,1,0))</f>
        <v>0</v>
      </c>
      <c r="N179" s="12" t="str">
        <f aca="false">IF(A179="","",IFERROR(INDEX(Events!$F$2:$F$67,MATCH(A179,Events!$A$2:$A$67,0)),""))</f>
        <v>CZE</v>
      </c>
      <c r="O179" s="12" t="n">
        <f aca="false">IF(AND(G179=1,K179="Yes",N179="POL"),IF(COUNTIFS($A$2:A179,A179,$D$2:D179,D179,$E$2:E179,E179,$G$2:G179,1)=1,1,0),0)</f>
        <v>0</v>
      </c>
      <c r="P179" s="12" t="n">
        <f aca="false">IF(AND(ISNUMBER(G179),K179="Yes",N179="POL"),IF(AND(G179&gt;=1,G179&lt;=3,COUNTIFS($A$2:A179,A179,$D$2:D179,D179,$E$2:E179,E179,$G$2:G179,G179)=1),1,0),0)</f>
        <v>0</v>
      </c>
    </row>
    <row r="180" customFormat="false" ht="15" hidden="false" customHeight="false" outlineLevel="0" collapsed="false">
      <c r="A180" s="12" t="s">
        <v>207</v>
      </c>
      <c r="B180" s="13" t="n">
        <v>46144</v>
      </c>
      <c r="C180" s="12" t="str">
        <f aca="false">IF(A180="","",IFERROR(INDEX(Events!$D$2:$D$67,MATCH(A180,Events!$A$2:$A$67,0)),"Unknown event ID"))</f>
        <v>Gracia Orlová</v>
      </c>
      <c r="D180" s="12" t="s">
        <v>375</v>
      </c>
      <c r="E180" s="12" t="s">
        <v>59</v>
      </c>
      <c r="F180" s="12" t="s">
        <v>75</v>
      </c>
      <c r="G180" s="12" t="n">
        <v>112</v>
      </c>
      <c r="H180" s="12" t="s">
        <v>366</v>
      </c>
      <c r="I180" s="12"/>
      <c r="J180" s="12" t="s">
        <v>77</v>
      </c>
      <c r="K180" s="12" t="str">
        <f aca="false">IF(A180="","",IFERROR(IF(INDEX(Events!$J$2:$J$67,MATCH(A180,Events!$A$2:$A$67,0))="Yes",IF(ISNUMBER(SEARCH("Criterium final",D180)),"No","Yes"),"No"),""))</f>
        <v>No</v>
      </c>
      <c r="L180" s="12"/>
      <c r="M180" s="12" t="n">
        <f aca="false">IF(OR(A180="",F180=""),0,IF(COUNTIFS($A$2:A180,A180,$F$2:F180,F180)=1,1,0))</f>
        <v>0</v>
      </c>
      <c r="N180" s="12" t="str">
        <f aca="false">IF(A180="","",IFERROR(INDEX(Events!$F$2:$F$67,MATCH(A180,Events!$A$2:$A$67,0)),""))</f>
        <v>CZE</v>
      </c>
      <c r="O180" s="12" t="n">
        <f aca="false">IF(AND(G180=1,K180="Yes",N180="POL"),IF(COUNTIFS($A$2:A180,A180,$D$2:D180,D180,$E$2:E180,E180,$G$2:G180,1)=1,1,0),0)</f>
        <v>0</v>
      </c>
      <c r="P180" s="12" t="n">
        <f aca="false">IF(AND(ISNUMBER(G180),K180="Yes",N180="POL"),IF(AND(G180&gt;=1,G180&lt;=3,COUNTIFS($A$2:A180,A180,$D$2:D180,D180,$E$2:E180,E180,$G$2:G180,G180)=1),1,0),0)</f>
        <v>0</v>
      </c>
    </row>
    <row r="181" customFormat="false" ht="15" hidden="false" customHeight="false" outlineLevel="0" collapsed="false">
      <c r="A181" s="12" t="s">
        <v>207</v>
      </c>
      <c r="B181" s="13" t="n">
        <v>46145</v>
      </c>
      <c r="C181" s="12" t="str">
        <f aca="false">IF(A181="","",IFERROR(INDEX(Events!$D$2:$D$67,MATCH(A181,Events!$A$2:$A$67,0)),"Unknown event ID"))</f>
        <v>Gracia Orlová</v>
      </c>
      <c r="D181" s="12" t="s">
        <v>394</v>
      </c>
      <c r="E181" s="12" t="s">
        <v>59</v>
      </c>
      <c r="F181" s="12" t="s">
        <v>75</v>
      </c>
      <c r="G181" s="12" t="n">
        <v>72</v>
      </c>
      <c r="H181" s="12" t="s">
        <v>366</v>
      </c>
      <c r="I181" s="12"/>
      <c r="J181" s="12" t="s">
        <v>77</v>
      </c>
      <c r="K181" s="12" t="str">
        <f aca="false">IF(A181="","",IFERROR(IF(INDEX(Events!$J$2:$J$67,MATCH(A181,Events!$A$2:$A$67,0))="Yes",IF(ISNUMBER(SEARCH("Criterium final",D181)),"No","Yes"),"No"),""))</f>
        <v>No</v>
      </c>
      <c r="L181" s="12"/>
      <c r="M181" s="12" t="n">
        <f aca="false">IF(OR(A181="",F181=""),0,IF(COUNTIFS($A$2:A181,A181,$F$2:F181,F181)=1,1,0))</f>
        <v>0</v>
      </c>
      <c r="N181" s="12" t="str">
        <f aca="false">IF(A181="","",IFERROR(INDEX(Events!$F$2:$F$67,MATCH(A181,Events!$A$2:$A$67,0)),""))</f>
        <v>CZE</v>
      </c>
      <c r="O181" s="12" t="n">
        <f aca="false">IF(AND(G181=1,K181="Yes",N181="POL"),IF(COUNTIFS($A$2:A181,A181,$D$2:D181,D181,$E$2:E181,E181,$G$2:G181,1)=1,1,0),0)</f>
        <v>0</v>
      </c>
      <c r="P181" s="12" t="n">
        <f aca="false">IF(AND(ISNUMBER(G181),K181="Yes",N181="POL"),IF(AND(G181&gt;=1,G181&lt;=3,COUNTIFS($A$2:A181,A181,$D$2:D181,D181,$E$2:E181,E181,$G$2:G181,G181)=1),1,0),0)</f>
        <v>0</v>
      </c>
    </row>
    <row r="182" customFormat="false" ht="15" hidden="false" customHeight="false" outlineLevel="0" collapsed="false">
      <c r="A182" s="12" t="s">
        <v>207</v>
      </c>
      <c r="B182" s="13" t="n">
        <v>46145</v>
      </c>
      <c r="C182" s="12" t="str">
        <f aca="false">IF(A182="","",IFERROR(INDEX(Events!$D$2:$D$67,MATCH(A182,Events!$A$2:$A$67,0)),"Unknown event ID"))</f>
        <v>Gracia Orlová</v>
      </c>
      <c r="D182" s="12" t="s">
        <v>376</v>
      </c>
      <c r="E182" s="12" t="s">
        <v>59</v>
      </c>
      <c r="F182" s="12" t="s">
        <v>75</v>
      </c>
      <c r="G182" s="12" t="n">
        <v>56</v>
      </c>
      <c r="H182" s="12" t="s">
        <v>366</v>
      </c>
      <c r="I182" s="12"/>
      <c r="J182" s="12" t="s">
        <v>77</v>
      </c>
      <c r="K182" s="12" t="str">
        <f aca="false">IF(A182="","",IFERROR(IF(INDEX(Events!$J$2:$J$67,MATCH(A182,Events!$A$2:$A$67,0))="Yes",IF(ISNUMBER(SEARCH("Criterium final",D182)),"No","Yes"),"No"),""))</f>
        <v>No</v>
      </c>
      <c r="L182" s="12"/>
      <c r="M182" s="12" t="n">
        <f aca="false">IF(OR(A182="",F182=""),0,IF(COUNTIFS($A$2:A182,A182,$F$2:F182,F182)=1,1,0))</f>
        <v>0</v>
      </c>
      <c r="N182" s="12" t="str">
        <f aca="false">IF(A182="","",IFERROR(INDEX(Events!$F$2:$F$67,MATCH(A182,Events!$A$2:$A$67,0)),""))</f>
        <v>CZE</v>
      </c>
      <c r="O182" s="12" t="n">
        <f aca="false">IF(AND(G182=1,K182="Yes",N182="POL"),IF(COUNTIFS($A$2:A182,A182,$D$2:D182,D182,$E$2:E182,E182,$G$2:G182,1)=1,1,0),0)</f>
        <v>0</v>
      </c>
      <c r="P182" s="12" t="n">
        <f aca="false">IF(AND(ISNUMBER(G182),K182="Yes",N182="POL"),IF(AND(G182&gt;=1,G182&lt;=3,COUNTIFS($A$2:A182,A182,$D$2:D182,D182,$E$2:E182,E182,$G$2:G182,G182)=1),1,0),0)</f>
        <v>0</v>
      </c>
    </row>
    <row r="183" customFormat="false" ht="15" hidden="false" customHeight="false" outlineLevel="0" collapsed="false">
      <c r="A183" s="12" t="s">
        <v>220</v>
      </c>
      <c r="B183" s="13" t="n">
        <v>46152</v>
      </c>
      <c r="C183" s="12" t="str">
        <f aca="false">IF(A183="","",IFERROR(INDEX(Events!$D$2:$D$67,MATCH(A183,Events!$A$2:$A$67,0)),"Unknown event ID"))</f>
        <v>Trofee Maarten Wynants</v>
      </c>
      <c r="D183" s="12" t="s">
        <v>365</v>
      </c>
      <c r="E183" s="12" t="s">
        <v>59</v>
      </c>
      <c r="F183" s="12" t="s">
        <v>75</v>
      </c>
      <c r="G183" s="12" t="n">
        <v>90</v>
      </c>
      <c r="H183" s="12" t="s">
        <v>366</v>
      </c>
      <c r="I183" s="12"/>
      <c r="J183" s="12" t="s">
        <v>77</v>
      </c>
      <c r="K183" s="12" t="str">
        <f aca="false">IF(A183="","",IFERROR(IF(INDEX(Events!$J$2:$J$67,MATCH(A183,Events!$A$2:$A$67,0))="Yes",IF(ISNUMBER(SEARCH("Criterium final",D183)),"No","Yes"),"No"),""))</f>
        <v>No</v>
      </c>
      <c r="L183" s="12"/>
      <c r="M183" s="12" t="n">
        <f aca="false">IF(OR(A183="",F183=""),0,IF(COUNTIFS($A$2:A183,A183,$F$2:F183,F183)=1,1,0))</f>
        <v>1</v>
      </c>
      <c r="N183" s="12" t="str">
        <f aca="false">IF(A183="","",IFERROR(INDEX(Events!$F$2:$F$67,MATCH(A183,Events!$A$2:$A$67,0)),""))</f>
        <v>BEL</v>
      </c>
      <c r="O183" s="12" t="n">
        <f aca="false">IF(AND(G183=1,K183="Yes",N183="POL"),IF(COUNTIFS($A$2:A183,A183,$D$2:D183,D183,$E$2:E183,E183,$G$2:G183,1)=1,1,0),0)</f>
        <v>0</v>
      </c>
      <c r="P183" s="12" t="n">
        <f aca="false">IF(AND(ISNUMBER(G183),K183="Yes",N183="POL"),IF(AND(G183&gt;=1,G183&lt;=3,COUNTIFS($A$2:A183,A183,$D$2:D183,D183,$E$2:E183,E183,$G$2:G183,G183)=1),1,0),0)</f>
        <v>0</v>
      </c>
    </row>
    <row r="184" customFormat="false" ht="15" hidden="false" customHeight="false" outlineLevel="0" collapsed="false">
      <c r="A184" s="12" t="s">
        <v>235</v>
      </c>
      <c r="B184" s="13" t="n">
        <v>46180</v>
      </c>
      <c r="C184" s="12" t="str">
        <f aca="false">IF(A184="","",IFERROR(INDEX(Events!$D$2:$D$67,MATCH(A184,Events!$A$2:$A$67,0)),"Unknown event ID"))</f>
        <v>Dwars door de Westhoek</v>
      </c>
      <c r="D184" s="12" t="s">
        <v>365</v>
      </c>
      <c r="E184" s="12" t="s">
        <v>59</v>
      </c>
      <c r="F184" s="12" t="s">
        <v>75</v>
      </c>
      <c r="G184" s="12"/>
      <c r="H184" s="12" t="s">
        <v>33</v>
      </c>
      <c r="I184" s="12"/>
      <c r="J184" s="12" t="s">
        <v>77</v>
      </c>
      <c r="K184" s="12" t="str">
        <f aca="false">IF(A184="","",IFERROR(IF(INDEX(Events!$J$2:$J$67,MATCH(A184,Events!$A$2:$A$67,0))="Yes",IF(ISNUMBER(SEARCH("Criterium final",D184)),"No","Yes"),"No"),""))</f>
        <v>No</v>
      </c>
      <c r="L184" s="12"/>
      <c r="M184" s="12" t="n">
        <f aca="false">IF(OR(A184="",F184=""),0,IF(COUNTIFS($A$2:A184,A184,$F$2:F184,F184)=1,1,0))</f>
        <v>1</v>
      </c>
      <c r="N184" s="12" t="str">
        <f aca="false">IF(A184="","",IFERROR(INDEX(Events!$F$2:$F$67,MATCH(A184,Events!$A$2:$A$67,0)),""))</f>
        <v>BEL</v>
      </c>
      <c r="O184" s="12" t="n">
        <f aca="false">IF(AND(G184=1,K184="Yes",N184="POL"),IF(COUNTIFS($A$2:A184,A184,$D$2:D184,D184,$E$2:E184,E184,$G$2:G184,1)=1,1,0),0)</f>
        <v>0</v>
      </c>
      <c r="P184" s="12" t="n">
        <f aca="false">IF(AND(ISNUMBER(G184),K184="Yes",N184="POL"),IF(AND(G184&gt;=1,G184&lt;=3,COUNTIFS($A$2:A184,A184,$D$2:D184,D184,$E$2:E184,E184,$G$2:G184,G184)=1),1,0),0)</f>
        <v>0</v>
      </c>
    </row>
    <row r="185" customFormat="false" ht="15" hidden="false" customHeight="false" outlineLevel="0" collapsed="false">
      <c r="A185" s="12" t="s">
        <v>237</v>
      </c>
      <c r="B185" s="13" t="n">
        <v>46186</v>
      </c>
      <c r="C185" s="12" t="str">
        <f aca="false">IF(A185="","",IFERROR(INDEX(Events!$D$2:$D$67,MATCH(A185,Events!$A$2:$A$67,0)),"Unknown event ID"))</f>
        <v>Polish Cup (road)</v>
      </c>
      <c r="D185" s="12" t="s">
        <v>387</v>
      </c>
      <c r="E185" s="12" t="s">
        <v>428</v>
      </c>
      <c r="F185" s="12" t="s">
        <v>75</v>
      </c>
      <c r="G185" s="12" t="n">
        <v>3</v>
      </c>
      <c r="H185" s="12" t="s">
        <v>366</v>
      </c>
      <c r="I185" s="12"/>
      <c r="J185" s="12" t="s">
        <v>443</v>
      </c>
      <c r="K185" s="12" t="str">
        <f aca="false">IF(A185="","",IFERROR(IF(INDEX(Events!$J$2:$J$67,MATCH(A185,Events!$A$2:$A$67,0))="Yes",IF(ISNUMBER(SEARCH("Criterium final",D185)),"No","Yes"),"No"),""))</f>
        <v>No</v>
      </c>
      <c r="L185" s="12"/>
      <c r="M185" s="12" t="n">
        <f aca="false">IF(OR(A185="",F185=""),0,IF(COUNTIFS($A$2:A185,A185,$F$2:F185,F185)=1,1,0))</f>
        <v>1</v>
      </c>
      <c r="N185" s="12" t="str">
        <f aca="false">IF(A185="","",IFERROR(INDEX(Events!$F$2:$F$67,MATCH(A185,Events!$A$2:$A$67,0)),""))</f>
        <v>POL</v>
      </c>
      <c r="O185" s="12" t="n">
        <f aca="false">IF(AND(G185=1,K185="Yes",N185="POL"),IF(COUNTIFS($A$2:A185,A185,$D$2:D185,D185,$E$2:E185,E185,$G$2:G185,1)=1,1,0),0)</f>
        <v>0</v>
      </c>
      <c r="P185" s="12" t="n">
        <f aca="false">IF(AND(ISNUMBER(G185),K185="Yes",N185="POL"),IF(AND(G185&gt;=1,G185&lt;=3,COUNTIFS($A$2:A185,A185,$D$2:D185,D185,$E$2:E185,E185,$G$2:G185,G185)=1),1,0),0)</f>
        <v>0</v>
      </c>
    </row>
    <row r="186" customFormat="false" ht="15" hidden="false" customHeight="false" outlineLevel="0" collapsed="false">
      <c r="A186" s="12" t="s">
        <v>237</v>
      </c>
      <c r="B186" s="13" t="n">
        <v>46186</v>
      </c>
      <c r="C186" s="12" t="str">
        <f aca="false">IF(A186="","",IFERROR(INDEX(Events!$D$2:$D$67,MATCH(A186,Events!$A$2:$A$67,0)),"Unknown event ID"))</f>
        <v>Polish Cup (road)</v>
      </c>
      <c r="D186" s="12" t="s">
        <v>387</v>
      </c>
      <c r="E186" s="12" t="s">
        <v>66</v>
      </c>
      <c r="F186" s="12" t="s">
        <v>75</v>
      </c>
      <c r="G186" s="12" t="n">
        <v>1</v>
      </c>
      <c r="H186" s="12" t="s">
        <v>366</v>
      </c>
      <c r="I186" s="12"/>
      <c r="J186" s="12" t="s">
        <v>443</v>
      </c>
      <c r="K186" s="12" t="str">
        <f aca="false">IF(A186="","",IFERROR(IF(INDEX(Events!$J$2:$J$67,MATCH(A186,Events!$A$2:$A$67,0))="Yes",IF(ISNUMBER(SEARCH("Criterium final",D186)),"No","Yes"),"No"),""))</f>
        <v>No</v>
      </c>
      <c r="L186" s="12"/>
      <c r="M186" s="12" t="n">
        <f aca="false">IF(OR(A186="",F186=""),0,IF(COUNTIFS($A$2:A186,A186,$F$2:F186,F186)=1,1,0))</f>
        <v>0</v>
      </c>
      <c r="N186" s="12" t="str">
        <f aca="false">IF(A186="","",IFERROR(INDEX(Events!$F$2:$F$67,MATCH(A186,Events!$A$2:$A$67,0)),""))</f>
        <v>POL</v>
      </c>
      <c r="O186" s="12" t="n">
        <f aca="false">IF(AND(G186=1,K186="Yes",N186="POL"),IF(COUNTIFS($A$2:A186,A186,$D$2:D186,D186,$E$2:E186,E186,$G$2:G186,1)=1,1,0),0)</f>
        <v>0</v>
      </c>
      <c r="P186" s="12" t="n">
        <f aca="false">IF(AND(ISNUMBER(G186),K186="Yes",N186="POL"),IF(AND(G186&gt;=1,G186&lt;=3,COUNTIFS($A$2:A186,A186,$D$2:D186,D186,$E$2:E186,E186,$G$2:G186,G186)=1),1,0),0)</f>
        <v>0</v>
      </c>
    </row>
    <row r="187" customFormat="false" ht="15" hidden="false" customHeight="false" outlineLevel="0" collapsed="false">
      <c r="A187" s="12" t="s">
        <v>243</v>
      </c>
      <c r="B187" s="13" t="n">
        <v>46194</v>
      </c>
      <c r="C187" s="12" t="str">
        <f aca="false">IF(A187="","",IFERROR(INDEX(Events!$D$2:$D$67,MATCH(A187,Events!$A$2:$A$67,0)),"Unknown event ID"))</f>
        <v>LOTTO Thüringen Women Cycling Challenge</v>
      </c>
      <c r="D187" s="12" t="s">
        <v>365</v>
      </c>
      <c r="E187" s="12" t="s">
        <v>59</v>
      </c>
      <c r="F187" s="12" t="s">
        <v>75</v>
      </c>
      <c r="G187" s="12"/>
      <c r="H187" s="12" t="s">
        <v>33</v>
      </c>
      <c r="I187" s="12"/>
      <c r="J187" s="12" t="s">
        <v>77</v>
      </c>
      <c r="K187" s="12" t="str">
        <f aca="false">IF(A187="","",IFERROR(IF(INDEX(Events!$J$2:$J$67,MATCH(A187,Events!$A$2:$A$67,0))="Yes",IF(ISNUMBER(SEARCH("Criterium final",D187)),"No","Yes"),"No"),""))</f>
        <v>No</v>
      </c>
      <c r="L187" s="12"/>
      <c r="M187" s="12" t="n">
        <f aca="false">IF(OR(A187="",F187=""),0,IF(COUNTIFS($A$2:A187,A187,$F$2:F187,F187)=1,1,0))</f>
        <v>1</v>
      </c>
      <c r="N187" s="12" t="str">
        <f aca="false">IF(A187="","",IFERROR(INDEX(Events!$F$2:$F$67,MATCH(A187,Events!$A$2:$A$67,0)),""))</f>
        <v>GER</v>
      </c>
      <c r="O187" s="12" t="n">
        <f aca="false">IF(AND(G187=1,K187="Yes",N187="POL"),IF(COUNTIFS($A$2:A187,A187,$D$2:D187,D187,$E$2:E187,E187,$G$2:G187,1)=1,1,0),0)</f>
        <v>0</v>
      </c>
      <c r="P187" s="12" t="n">
        <f aca="false">IF(AND(ISNUMBER(G187),K187="Yes",N187="POL"),IF(AND(G187&gt;=1,G187&lt;=3,COUNTIFS($A$2:A187,A187,$D$2:D187,D187,$E$2:E187,E187,$G$2:G187,G187)=1),1,0),0)</f>
        <v>0</v>
      </c>
    </row>
    <row r="188" customFormat="false" ht="15" hidden="false" customHeight="false" outlineLevel="0" collapsed="false">
      <c r="A188" s="12" t="s">
        <v>246</v>
      </c>
      <c r="B188" s="13" t="n">
        <v>46198</v>
      </c>
      <c r="C188" s="12" t="str">
        <f aca="false">IF(A188="","",IFERROR(INDEX(Events!$D$2:$D$67,MATCH(A188,Events!$A$2:$A$67,0)),"Unknown event ID"))</f>
        <v>Polish Road Championships (ITT + road race)</v>
      </c>
      <c r="D188" s="12" t="s">
        <v>387</v>
      </c>
      <c r="E188" s="12" t="s">
        <v>66</v>
      </c>
      <c r="F188" s="12" t="s">
        <v>75</v>
      </c>
      <c r="G188" s="12" t="n">
        <v>4</v>
      </c>
      <c r="H188" s="12" t="s">
        <v>366</v>
      </c>
      <c r="I188" s="12"/>
      <c r="J188" s="12" t="s">
        <v>77</v>
      </c>
      <c r="K188" s="12" t="str">
        <f aca="false">IF(A188="","",IFERROR(IF(INDEX(Events!$J$2:$J$67,MATCH(A188,Events!$A$2:$A$67,0))="Yes",IF(ISNUMBER(SEARCH("Criterium final",D188)),"No","Yes"),"No"),""))</f>
        <v>Yes</v>
      </c>
      <c r="L188" s="12"/>
      <c r="M188" s="12" t="n">
        <f aca="false">IF(OR(A188="",F188=""),0,IF(COUNTIFS($A$2:A188,A188,$F$2:F188,F188)=1,1,0))</f>
        <v>1</v>
      </c>
      <c r="N188" s="12" t="str">
        <f aca="false">IF(A188="","",IFERROR(INDEX(Events!$F$2:$F$67,MATCH(A188,Events!$A$2:$A$67,0)),""))</f>
        <v>POL</v>
      </c>
      <c r="O188" s="12" t="n">
        <f aca="false">IF(AND(G188=1,K188="Yes",N188="POL"),IF(COUNTIFS($A$2:A188,A188,$D$2:D188,D188,$E$2:E188,E188,$G$2:G188,1)=1,1,0),0)</f>
        <v>0</v>
      </c>
      <c r="P188" s="12" t="n">
        <f aca="false">IF(AND(ISNUMBER(G188),K188="Yes",N188="POL"),IF(AND(G188&gt;=1,G188&lt;=3,COUNTIFS($A$2:A188,A188,$D$2:D188,D188,$E$2:E188,E188,$G$2:G188,G188)=1),1,0),0)</f>
        <v>0</v>
      </c>
    </row>
    <row r="189" customFormat="false" ht="15" hidden="false" customHeight="false" outlineLevel="0" collapsed="false">
      <c r="A189" s="12" t="s">
        <v>246</v>
      </c>
      <c r="B189" s="13" t="n">
        <v>46200</v>
      </c>
      <c r="C189" s="12" t="str">
        <f aca="false">IF(A189="","",IFERROR(INDEX(Events!$D$2:$D$67,MATCH(A189,Events!$A$2:$A$67,0)),"Unknown event ID"))</f>
        <v>Polish Road Championships (ITT + road race)</v>
      </c>
      <c r="D189" s="12" t="s">
        <v>367</v>
      </c>
      <c r="E189" s="12" t="s">
        <v>59</v>
      </c>
      <c r="F189" s="12" t="s">
        <v>75</v>
      </c>
      <c r="G189" s="12" t="n">
        <v>39</v>
      </c>
      <c r="H189" s="12" t="s">
        <v>366</v>
      </c>
      <c r="I189" s="12"/>
      <c r="J189" s="12" t="s">
        <v>77</v>
      </c>
      <c r="K189" s="12" t="str">
        <f aca="false">IF(A189="","",IFERROR(IF(INDEX(Events!$J$2:$J$67,MATCH(A189,Events!$A$2:$A$67,0))="Yes",IF(ISNUMBER(SEARCH("Criterium final",D189)),"No","Yes"),"No"),""))</f>
        <v>Yes</v>
      </c>
      <c r="L189" s="12"/>
      <c r="M189" s="12" t="n">
        <f aca="false">IF(OR(A189="",F189=""),0,IF(COUNTIFS($A$2:A189,A189,$F$2:F189,F189)=1,1,0))</f>
        <v>0</v>
      </c>
      <c r="N189" s="12" t="str">
        <f aca="false">IF(A189="","",IFERROR(INDEX(Events!$F$2:$F$67,MATCH(A189,Events!$A$2:$A$67,0)),""))</f>
        <v>POL</v>
      </c>
      <c r="O189" s="12" t="n">
        <f aca="false">IF(AND(G189=1,K189="Yes",N189="POL"),IF(COUNTIFS($A$2:A189,A189,$D$2:D189,D189,$E$2:E189,E189,$G$2:G189,1)=1,1,0),0)</f>
        <v>0</v>
      </c>
      <c r="P189" s="12" t="n">
        <f aca="false">IF(AND(ISNUMBER(G189),K189="Yes",N189="POL"),IF(AND(G189&gt;=1,G189&lt;=3,COUNTIFS($A$2:A189,A189,$D$2:D189,D189,$E$2:E189,E189,$G$2:G189,G189)=1),1,0),0)</f>
        <v>0</v>
      </c>
    </row>
    <row r="190" customFormat="false" ht="15" hidden="false" customHeight="false" outlineLevel="0" collapsed="false">
      <c r="A190" s="12" t="s">
        <v>262</v>
      </c>
      <c r="B190" s="13" t="n">
        <v>46242</v>
      </c>
      <c r="C190" s="12" t="str">
        <f aca="false">IF(A190="","",IFERROR(INDEX(Events!$D$2:$D$67,MATCH(A190,Events!$A$2:$A$67,0)),"Unknown event ID"))</f>
        <v>Criterium Grudziądz (Puchar Prezydenta Grudziądza)</v>
      </c>
      <c r="D190" s="12" t="s">
        <v>433</v>
      </c>
      <c r="E190" s="12" t="s">
        <v>428</v>
      </c>
      <c r="F190" s="12" t="s">
        <v>75</v>
      </c>
      <c r="G190" s="12" t="n">
        <v>3</v>
      </c>
      <c r="H190" s="12" t="s">
        <v>366</v>
      </c>
      <c r="I190" s="12"/>
      <c r="J190" s="12" t="s">
        <v>444</v>
      </c>
      <c r="K190" s="12" t="str">
        <f aca="false">IF(A190="","",IFERROR(IF(INDEX(Events!$J$2:$J$67,MATCH(A190,Events!$A$2:$A$67,0))="Yes",IF(ISNUMBER(SEARCH("Criterium final",D190)),"No","Yes"),"No"),""))</f>
        <v>No</v>
      </c>
      <c r="L190" s="12"/>
      <c r="M190" s="12" t="n">
        <f aca="false">IF(OR(A190="",F190=""),0,IF(COUNTIFS($A$2:A190,A190,$F$2:F190,F190)=1,1,0))</f>
        <v>1</v>
      </c>
      <c r="N190" s="12" t="str">
        <f aca="false">IF(A190="","",IFERROR(INDEX(Events!$F$2:$F$67,MATCH(A190,Events!$A$2:$A$67,0)),""))</f>
        <v>POL</v>
      </c>
      <c r="O190" s="12" t="n">
        <f aca="false">IF(AND(G190=1,K190="Yes",N190="POL"),IF(COUNTIFS($A$2:A190,A190,$D$2:D190,D190,$E$2:E190,E190,$G$2:G190,1)=1,1,0),0)</f>
        <v>0</v>
      </c>
      <c r="P190" s="12" t="n">
        <f aca="false">IF(AND(ISNUMBER(G190),K190="Yes",N190="POL"),IF(AND(G190&gt;=1,G190&lt;=3,COUNTIFS($A$2:A190,A190,$D$2:D190,D190,$E$2:E190,E190,$G$2:G190,G190)=1),1,0),0)</f>
        <v>0</v>
      </c>
    </row>
    <row r="191" customFormat="false" ht="15" hidden="false" customHeight="false" outlineLevel="0" collapsed="false">
      <c r="A191" s="12" t="s">
        <v>266</v>
      </c>
      <c r="B191" s="13" t="n">
        <v>46243</v>
      </c>
      <c r="C191" s="12" t="str">
        <f aca="false">IF(A191="","",IFERROR(INDEX(Events!$D$2:$D$67,MATCH(A191,Events!$A$2:$A$67,0)),"Unknown event ID"))</f>
        <v>Kryterium Uliczne – Nagroda Gruczna</v>
      </c>
      <c r="D191" s="12" t="s">
        <v>433</v>
      </c>
      <c r="E191" s="12" t="s">
        <v>428</v>
      </c>
      <c r="F191" s="12" t="s">
        <v>75</v>
      </c>
      <c r="G191" s="12" t="n">
        <v>1</v>
      </c>
      <c r="H191" s="12" t="s">
        <v>366</v>
      </c>
      <c r="I191" s="12"/>
      <c r="J191" s="12" t="s">
        <v>445</v>
      </c>
      <c r="K191" s="12" t="str">
        <f aca="false">IF(A191="","",IFERROR(IF(INDEX(Events!$J$2:$J$67,MATCH(A191,Events!$A$2:$A$67,0))="Yes",IF(ISNUMBER(SEARCH("Criterium final",D191)),"No","Yes"),"No"),""))</f>
        <v>No</v>
      </c>
      <c r="L191" s="12"/>
      <c r="M191" s="12" t="n">
        <f aca="false">IF(OR(A191="",F191=""),0,IF(COUNTIFS($A$2:A191,A191,$F$2:F191,F191)=1,1,0))</f>
        <v>1</v>
      </c>
      <c r="N191" s="12" t="str">
        <f aca="false">IF(A191="","",IFERROR(INDEX(Events!$F$2:$F$67,MATCH(A191,Events!$A$2:$A$67,0)),""))</f>
        <v>POL</v>
      </c>
      <c r="O191" s="12" t="n">
        <f aca="false">IF(AND(G191=1,K191="Yes",N191="POL"),IF(COUNTIFS($A$2:A191,A191,$D$2:D191,D191,$E$2:E191,E191,$G$2:G191,1)=1,1,0),0)</f>
        <v>0</v>
      </c>
      <c r="P191" s="12" t="n">
        <f aca="false">IF(AND(ISNUMBER(G191),K191="Yes",N191="POL"),IF(AND(G191&gt;=1,G191&lt;=3,COUNTIFS($A$2:A191,A191,$D$2:D191,D191,$E$2:E191,E191,$G$2:G191,G191)=1),1,0),0)</f>
        <v>0</v>
      </c>
    </row>
    <row r="192" customFormat="false" ht="15" hidden="false" customHeight="false" outlineLevel="0" collapsed="false">
      <c r="A192" s="12" t="s">
        <v>289</v>
      </c>
      <c r="B192" s="13" t="n">
        <v>46277</v>
      </c>
      <c r="C192" s="12" t="str">
        <f aca="false">IF(A192="","",IFERROR(INDEX(Events!$D$2:$D$67,MATCH(A192,Events!$A$2:$A$67,0)),"Unknown event ID"))</f>
        <v>Polish Pairs &amp; Team Time Trial Championships</v>
      </c>
      <c r="D192" s="12" t="s">
        <v>405</v>
      </c>
      <c r="E192" s="12" t="s">
        <v>66</v>
      </c>
      <c r="F192" s="12" t="s">
        <v>75</v>
      </c>
      <c r="G192" s="12" t="n">
        <v>3</v>
      </c>
      <c r="H192" s="12" t="s">
        <v>366</v>
      </c>
      <c r="I192" s="12" t="s">
        <v>390</v>
      </c>
      <c r="J192" s="12" t="s">
        <v>406</v>
      </c>
      <c r="K192" s="12" t="str">
        <f aca="false">IF(A192="","",IFERROR(IF(INDEX(Events!$J$2:$J$67,MATCH(A192,Events!$A$2:$A$67,0))="Yes",IF(ISNUMBER(SEARCH("Criterium final",D192)),"No","Yes"),"No"),""))</f>
        <v>Yes</v>
      </c>
      <c r="L192" s="12"/>
      <c r="M192" s="12" t="n">
        <f aca="false">IF(OR(A192="",F192=""),0,IF(COUNTIFS($A$2:A192,A192,$F$2:F192,F192)=1,1,0))</f>
        <v>1</v>
      </c>
      <c r="N192" s="12" t="str">
        <f aca="false">IF(A192="","",IFERROR(INDEX(Events!$F$2:$F$67,MATCH(A192,Events!$A$2:$A$67,0)),""))</f>
        <v>POL</v>
      </c>
      <c r="O192" s="12" t="n">
        <f aca="false">IF(AND(G192=1,K192="Yes",N192="POL"),IF(COUNTIFS($A$2:A192,A192,$D$2:D192,D192,$E$2:E192,E192,$G$2:G192,1)=1,1,0),0)</f>
        <v>0</v>
      </c>
      <c r="P192" s="12" t="n">
        <f aca="false">IF(AND(ISNUMBER(G192),K192="Yes",N192="POL"),IF(AND(G192&gt;=1,G192&lt;=3,COUNTIFS($A$2:A192,A192,$D$2:D192,D192,$E$2:E192,E192,$G$2:G192,G192)=1),1,0),0)</f>
        <v>1</v>
      </c>
    </row>
    <row r="193" customFormat="false" ht="15" hidden="false" customHeight="false" outlineLevel="0" collapsed="false">
      <c r="A193" s="12" t="s">
        <v>289</v>
      </c>
      <c r="B193" s="13" t="n">
        <v>46278</v>
      </c>
      <c r="C193" s="12" t="str">
        <f aca="false">IF(A193="","",IFERROR(INDEX(Events!$D$2:$D$67,MATCH(A193,Events!$A$2:$A$67,0)),"Unknown event ID"))</f>
        <v>Polish Pairs &amp; Team Time Trial Championships</v>
      </c>
      <c r="D193" s="12" t="s">
        <v>407</v>
      </c>
      <c r="E193" s="12" t="s">
        <v>59</v>
      </c>
      <c r="F193" s="12" t="s">
        <v>75</v>
      </c>
      <c r="G193" s="12" t="n">
        <v>3</v>
      </c>
      <c r="H193" s="12" t="s">
        <v>366</v>
      </c>
      <c r="I193" s="12" t="s">
        <v>446</v>
      </c>
      <c r="J193" s="12" t="s">
        <v>409</v>
      </c>
      <c r="K193" s="12" t="str">
        <f aca="false">IF(A193="","",IFERROR(IF(INDEX(Events!$J$2:$J$67,MATCH(A193,Events!$A$2:$A$67,0))="Yes",IF(ISNUMBER(SEARCH("Criterium final",D193)),"No","Yes"),"No"),""))</f>
        <v>Yes</v>
      </c>
      <c r="L193" s="12"/>
      <c r="M193" s="12" t="n">
        <f aca="false">IF(OR(A193="",F193=""),0,IF(COUNTIFS($A$2:A193,A193,$F$2:F193,F193)=1,1,0))</f>
        <v>0</v>
      </c>
      <c r="N193" s="12" t="str">
        <f aca="false">IF(A193="","",IFERROR(INDEX(Events!$F$2:$F$67,MATCH(A193,Events!$A$2:$A$67,0)),""))</f>
        <v>POL</v>
      </c>
      <c r="O193" s="12" t="n">
        <f aca="false">IF(AND(G193=1,K193="Yes",N193="POL"),IF(COUNTIFS($A$2:A193,A193,$D$2:D193,D193,$E$2:E193,E193,$G$2:G193,1)=1,1,0),0)</f>
        <v>0</v>
      </c>
      <c r="P193" s="12" t="n">
        <f aca="false">IF(AND(ISNUMBER(G193),K193="Yes",N193="POL"),IF(AND(G193&gt;=1,G193&lt;=3,COUNTIFS($A$2:A193,A193,$D$2:D193,D193,$E$2:E193,E193,$G$2:G193,G193)=1),1,0),0)</f>
        <v>1</v>
      </c>
    </row>
    <row r="194" customFormat="false" ht="15" hidden="false" customHeight="false" outlineLevel="0" collapsed="false">
      <c r="A194" s="12" t="s">
        <v>289</v>
      </c>
      <c r="B194" s="13" t="n">
        <v>46278</v>
      </c>
      <c r="C194" s="12" t="str">
        <f aca="false">IF(A194="","",IFERROR(INDEX(Events!$D$2:$D$67,MATCH(A194,Events!$A$2:$A$67,0)),"Unknown event ID"))</f>
        <v>Polish Pairs &amp; Team Time Trial Championships</v>
      </c>
      <c r="D194" s="12" t="s">
        <v>407</v>
      </c>
      <c r="E194" s="12" t="s">
        <v>66</v>
      </c>
      <c r="F194" s="12" t="s">
        <v>75</v>
      </c>
      <c r="G194" s="12" t="n">
        <v>2</v>
      </c>
      <c r="H194" s="12" t="s">
        <v>366</v>
      </c>
      <c r="I194" s="12" t="s">
        <v>446</v>
      </c>
      <c r="J194" s="12" t="s">
        <v>409</v>
      </c>
      <c r="K194" s="12" t="str">
        <f aca="false">IF(A194="","",IFERROR(IF(INDEX(Events!$J$2:$J$67,MATCH(A194,Events!$A$2:$A$67,0))="Yes",IF(ISNUMBER(SEARCH("Criterium final",D194)),"No","Yes"),"No"),""))</f>
        <v>Yes</v>
      </c>
      <c r="L194" s="12"/>
      <c r="M194" s="12" t="n">
        <f aca="false">IF(OR(A194="",F194=""),0,IF(COUNTIFS($A$2:A194,A194,$F$2:F194,F194)=1,1,0))</f>
        <v>0</v>
      </c>
      <c r="N194" s="12" t="str">
        <f aca="false">IF(A194="","",IFERROR(INDEX(Events!$F$2:$F$67,MATCH(A194,Events!$A$2:$A$67,0)),""))</f>
        <v>POL</v>
      </c>
      <c r="O194" s="12" t="n">
        <f aca="false">IF(AND(G194=1,K194="Yes",N194="POL"),IF(COUNTIFS($A$2:A194,A194,$D$2:D194,D194,$E$2:E194,E194,$G$2:G194,1)=1,1,0),0)</f>
        <v>0</v>
      </c>
      <c r="P194" s="12" t="n">
        <f aca="false">IF(AND(ISNUMBER(G194),K194="Yes",N194="POL"),IF(AND(G194&gt;=1,G194&lt;=3,COUNTIFS($A$2:A194,A194,$D$2:D194,D194,$E$2:E194,E194,$G$2:G194,G194)=1),1,0),0)</f>
        <v>1</v>
      </c>
    </row>
    <row r="195" customFormat="false" ht="15" hidden="false" customHeight="false" outlineLevel="0" collapsed="false">
      <c r="A195" s="12" t="s">
        <v>296</v>
      </c>
      <c r="B195" s="13" t="n">
        <v>46285</v>
      </c>
      <c r="C195" s="12" t="str">
        <f aca="false">IF(A195="","",IFERROR(INDEX(Events!$D$2:$D$67,MATCH(A195,Events!$A$2:$A$67,0)),"Unknown event ID"))</f>
        <v>Memoriał im. Stanisława Szozdy – MP criterium final</v>
      </c>
      <c r="D195" s="12" t="s">
        <v>427</v>
      </c>
      <c r="E195" s="12" t="s">
        <v>428</v>
      </c>
      <c r="F195" s="12" t="s">
        <v>75</v>
      </c>
      <c r="G195" s="12" t="n">
        <v>1</v>
      </c>
      <c r="H195" s="12" t="s">
        <v>366</v>
      </c>
      <c r="I195" s="12"/>
      <c r="J195" s="12" t="s">
        <v>429</v>
      </c>
      <c r="K195" s="12" t="str">
        <f aca="false">IF(A195="","",IFERROR(IF(INDEX(Events!$J$2:$J$67,MATCH(A195,Events!$A$2:$A$67,0))="Yes",IF(ISNUMBER(SEARCH("Criterium final",D195)),"No","Yes"),"No"),""))</f>
        <v>No</v>
      </c>
      <c r="L195" s="12"/>
      <c r="M195" s="12" t="n">
        <f aca="false">IF(OR(A195="",F195=""),0,IF(COUNTIFS($A$2:A195,A195,$F$2:F195,F195)=1,1,0))</f>
        <v>1</v>
      </c>
      <c r="N195" s="12" t="str">
        <f aca="false">IF(A195="","",IFERROR(INDEX(Events!$F$2:$F$67,MATCH(A195,Events!$A$2:$A$67,0)),""))</f>
        <v>POL</v>
      </c>
      <c r="O195" s="12" t="n">
        <f aca="false">IF(AND(G195=1,K195="Yes",N195="POL"),IF(COUNTIFS($A$2:A195,A195,$D$2:D195,D195,$E$2:E195,E195,$G$2:G195,1)=1,1,0),0)</f>
        <v>0</v>
      </c>
      <c r="P195" s="12" t="n">
        <f aca="false">IF(AND(ISNUMBER(G195),K195="Yes",N195="POL"),IF(AND(G195&gt;=1,G195&lt;=3,COUNTIFS($A$2:A195,A195,$D$2:D195,D195,$E$2:E195,E195,$G$2:G195,G195)=1),1,0),0)</f>
        <v>0</v>
      </c>
    </row>
    <row r="196" customFormat="false" ht="15" hidden="false" customHeight="false" outlineLevel="0" collapsed="false">
      <c r="A196" s="12" t="s">
        <v>296</v>
      </c>
      <c r="B196" s="13" t="n">
        <v>46285</v>
      </c>
      <c r="C196" s="12" t="str">
        <f aca="false">IF(A196="","",IFERROR(INDEX(Events!$D$2:$D$67,MATCH(A196,Events!$A$2:$A$67,0)),"Unknown event ID"))</f>
        <v>Memoriał im. Stanisława Szozdy – MP criterium final</v>
      </c>
      <c r="D196" s="12" t="s">
        <v>447</v>
      </c>
      <c r="E196" s="12" t="s">
        <v>59</v>
      </c>
      <c r="F196" s="12" t="s">
        <v>75</v>
      </c>
      <c r="G196" s="12" t="n">
        <v>1</v>
      </c>
      <c r="H196" s="12" t="s">
        <v>366</v>
      </c>
      <c r="I196" s="12" t="s">
        <v>448</v>
      </c>
      <c r="J196" s="12" t="s">
        <v>429</v>
      </c>
      <c r="K196" s="12" t="str">
        <f aca="false">IF(A196="","",IFERROR(IF(INDEX(Events!$J$2:$J$67,MATCH(A196,Events!$A$2:$A$67,0))="Yes",IF(ISNUMBER(SEARCH("Criterium final",D196)),"No","Yes"),"No"),""))</f>
        <v>Yes</v>
      </c>
      <c r="L196" s="12"/>
      <c r="M196" s="12" t="n">
        <f aca="false">IF(OR(A196="",F196=""),0,IF(COUNTIFS($A$2:A196,A196,$F$2:F196,F196)=1,1,0))</f>
        <v>0</v>
      </c>
      <c r="N196" s="12" t="str">
        <f aca="false">IF(A196="","",IFERROR(INDEX(Events!$F$2:$F$67,MATCH(A196,Events!$A$2:$A$67,0)),""))</f>
        <v>POL</v>
      </c>
      <c r="O196" s="12" t="n">
        <f aca="false">IF(AND(G196=1,K196="Yes",N196="POL"),IF(COUNTIFS($A$2:A196,A196,$D$2:D196,D196,$E$2:E196,E196,$G$2:G196,1)=1,1,0),0)</f>
        <v>1</v>
      </c>
      <c r="P196" s="12" t="n">
        <f aca="false">IF(AND(ISNUMBER(G196),K196="Yes",N196="POL"),IF(AND(G196&gt;=1,G196&lt;=3,COUNTIFS($A$2:A196,A196,$D$2:D196,D196,$E$2:E196,E196,$G$2:G196,G196)=1),1,0),0)</f>
        <v>1</v>
      </c>
    </row>
    <row r="197" customFormat="false" ht="15" hidden="false" customHeight="false" outlineLevel="0" collapsed="false">
      <c r="A197" s="12" t="s">
        <v>354</v>
      </c>
      <c r="B197" s="13"/>
      <c r="C197" s="12" t="str">
        <f aca="false">IF(A197="","",IFERROR(INDEX(Events!$D$2:$D$67,MATCH(A197,Events!$A$2:$A$67,0)),"Unknown event ID"))</f>
        <v>Polish MTB Marathon Championships</v>
      </c>
      <c r="D197" s="12" t="s">
        <v>449</v>
      </c>
      <c r="E197" s="12" t="s">
        <v>66</v>
      </c>
      <c r="F197" s="12" t="s">
        <v>75</v>
      </c>
      <c r="G197" s="12" t="n">
        <v>1</v>
      </c>
      <c r="H197" s="12" t="s">
        <v>366</v>
      </c>
      <c r="I197" s="12" t="s">
        <v>450</v>
      </c>
      <c r="J197" s="12" t="s">
        <v>436</v>
      </c>
      <c r="K197" s="12" t="str">
        <f aca="false">IF(A197="","",IFERROR(IF(INDEX(Events!$J$2:$J$67,MATCH(A197,Events!$A$2:$A$67,0))="Yes",IF(ISNUMBER(SEARCH("Criterium final",D197)),"No","Yes"),"No"),""))</f>
        <v>Yes</v>
      </c>
      <c r="L197" s="12"/>
      <c r="M197" s="12" t="n">
        <f aca="false">IF(OR(A197="",F197=""),0,IF(COUNTIFS($A$2:A197,A197,$F$2:F197,F197)=1,1,0))</f>
        <v>1</v>
      </c>
      <c r="N197" s="12" t="str">
        <f aca="false">IF(A197="","",IFERROR(INDEX(Events!$F$2:$F$67,MATCH(A197,Events!$A$2:$A$67,0)),""))</f>
        <v>POL</v>
      </c>
      <c r="O197" s="12" t="n">
        <f aca="false">IF(AND(G197=1,K197="Yes",N197="POL"),IF(COUNTIFS($A$2:A197,A197,$D$2:D197,D197,$E$2:E197,E197,$G$2:G197,1)=1,1,0),0)</f>
        <v>1</v>
      </c>
      <c r="P197" s="12" t="n">
        <f aca="false">IF(AND(ISNUMBER(G197),K197="Yes",N197="POL"),IF(AND(G197&gt;=1,G197&lt;=3,COUNTIFS($A$2:A197,A197,$D$2:D197,D197,$E$2:E197,E197,$G$2:G197,G197)=1),1,0),0)</f>
        <v>1</v>
      </c>
    </row>
    <row r="198" customFormat="false" ht="15" hidden="false" customHeight="false" outlineLevel="0" collapsed="false">
      <c r="A198" s="12" t="s">
        <v>354</v>
      </c>
      <c r="B198" s="13"/>
      <c r="C198" s="12" t="str">
        <f aca="false">IF(A198="","",IFERROR(INDEX(Events!$D$2:$D$67,MATCH(A198,Events!$A$2:$A$67,0)),"Unknown event ID"))</f>
        <v>Polish MTB Marathon Championships</v>
      </c>
      <c r="D198" s="12" t="s">
        <v>449</v>
      </c>
      <c r="E198" s="12" t="s">
        <v>59</v>
      </c>
      <c r="F198" s="12" t="s">
        <v>75</v>
      </c>
      <c r="G198" s="12" t="n">
        <v>2</v>
      </c>
      <c r="H198" s="12" t="s">
        <v>366</v>
      </c>
      <c r="I198" s="12"/>
      <c r="J198" s="12" t="s">
        <v>436</v>
      </c>
      <c r="K198" s="12" t="str">
        <f aca="false">IF(A198="","",IFERROR(IF(INDEX(Events!$J$2:$J$67,MATCH(A198,Events!$A$2:$A$67,0))="Yes",IF(ISNUMBER(SEARCH("Criterium final",D198)),"No","Yes"),"No"),""))</f>
        <v>Yes</v>
      </c>
      <c r="L198" s="12"/>
      <c r="M198" s="12" t="n">
        <f aca="false">IF(OR(A198="",F198=""),0,IF(COUNTIFS($A$2:A198,A198,$F$2:F198,F198)=1,1,0))</f>
        <v>0</v>
      </c>
      <c r="N198" s="12" t="str">
        <f aca="false">IF(A198="","",IFERROR(INDEX(Events!$F$2:$F$67,MATCH(A198,Events!$A$2:$A$67,0)),""))</f>
        <v>POL</v>
      </c>
      <c r="O198" s="12" t="n">
        <f aca="false">IF(AND(G198=1,K198="Yes",N198="POL"),IF(COUNTIFS($A$2:A198,A198,$D$2:D198,D198,$E$2:E198,E198,$G$2:G198,1)=1,1,0),0)</f>
        <v>0</v>
      </c>
      <c r="P198" s="12" t="n">
        <f aca="false">IF(AND(ISNUMBER(G198),K198="Yes",N198="POL"),IF(AND(G198&gt;=1,G198&lt;=3,COUNTIFS($A$2:A198,A198,$D$2:D198,D198,$E$2:E198,E198,$G$2:G198,G198)=1),1,0),0)</f>
        <v>1</v>
      </c>
    </row>
    <row r="199" customFormat="false" ht="15" hidden="false" customHeight="false" outlineLevel="0" collapsed="false">
      <c r="A199" s="12" t="s">
        <v>174</v>
      </c>
      <c r="B199" s="13" t="n">
        <v>46103</v>
      </c>
      <c r="C199" s="12" t="str">
        <f aca="false">IF(A199="","",IFERROR(INDEX(Events!$D$2:$D$67,MATCH(A199,Events!$A$2:$A$67,0)),"Unknown event ID"))</f>
        <v>Midwest Cycling Classic</v>
      </c>
      <c r="D199" s="12" t="s">
        <v>365</v>
      </c>
      <c r="E199" s="12" t="s">
        <v>59</v>
      </c>
      <c r="F199" s="12" t="s">
        <v>78</v>
      </c>
      <c r="G199" s="12" t="n">
        <v>45</v>
      </c>
      <c r="H199" s="12" t="s">
        <v>366</v>
      </c>
      <c r="I199" s="12"/>
      <c r="J199" s="12" t="s">
        <v>80</v>
      </c>
      <c r="K199" s="12" t="str">
        <f aca="false">IF(A199="","",IFERROR(IF(INDEX(Events!$J$2:$J$67,MATCH(A199,Events!$A$2:$A$67,0))="Yes",IF(ISNUMBER(SEARCH("Criterium final",D199)),"No","Yes"),"No"),""))</f>
        <v>No</v>
      </c>
      <c r="L199" s="12"/>
      <c r="M199" s="12" t="n">
        <f aca="false">IF(OR(A199="",F199=""),0,IF(COUNTIFS($A$2:A199,A199,$F$2:F199,F199)=1,1,0))</f>
        <v>1</v>
      </c>
      <c r="N199" s="12" t="str">
        <f aca="false">IF(A199="","",IFERROR(INDEX(Events!$F$2:$F$67,MATCH(A199,Events!$A$2:$A$67,0)),""))</f>
        <v>BEL</v>
      </c>
      <c r="O199" s="12" t="n">
        <f aca="false">IF(AND(G199=1,K199="Yes",N199="POL"),IF(COUNTIFS($A$2:A199,A199,$D$2:D199,D199,$E$2:E199,E199,$G$2:G199,1)=1,1,0),0)</f>
        <v>0</v>
      </c>
      <c r="P199" s="12" t="n">
        <f aca="false">IF(AND(ISNUMBER(G199),K199="Yes",N199="POL"),IF(AND(G199&gt;=1,G199&lt;=3,COUNTIFS($A$2:A199,A199,$D$2:D199,D199,$E$2:E199,E199,$G$2:G199,G199)=1),1,0),0)</f>
        <v>0</v>
      </c>
    </row>
    <row r="200" customFormat="false" ht="15" hidden="false" customHeight="false" outlineLevel="0" collapsed="false">
      <c r="A200" s="12" t="s">
        <v>185</v>
      </c>
      <c r="B200" s="13" t="n">
        <v>46118</v>
      </c>
      <c r="C200" s="12" t="str">
        <f aca="false">IF(A200="","",IFERROR(INDEX(Events!$D$2:$D$67,MATCH(A200,Events!$A$2:$A$67,0)),"Unknown event ID"))</f>
        <v>Ronde de Mouscron</v>
      </c>
      <c r="D200" s="12" t="s">
        <v>365</v>
      </c>
      <c r="E200" s="12" t="s">
        <v>59</v>
      </c>
      <c r="F200" s="12" t="s">
        <v>78</v>
      </c>
      <c r="G200" s="12" t="n">
        <v>58</v>
      </c>
      <c r="H200" s="12" t="s">
        <v>366</v>
      </c>
      <c r="I200" s="12"/>
      <c r="J200" s="12" t="s">
        <v>80</v>
      </c>
      <c r="K200" s="12" t="str">
        <f aca="false">IF(A200="","",IFERROR(IF(INDEX(Events!$J$2:$J$67,MATCH(A200,Events!$A$2:$A$67,0))="Yes",IF(ISNUMBER(SEARCH("Criterium final",D200)),"No","Yes"),"No"),""))</f>
        <v>No</v>
      </c>
      <c r="L200" s="12"/>
      <c r="M200" s="12" t="n">
        <f aca="false">IF(OR(A200="",F200=""),0,IF(COUNTIFS($A$2:A200,A200,$F$2:F200,F200)=1,1,0))</f>
        <v>1</v>
      </c>
      <c r="N200" s="12" t="str">
        <f aca="false">IF(A200="","",IFERROR(INDEX(Events!$F$2:$F$67,MATCH(A200,Events!$A$2:$A$67,0)),""))</f>
        <v>BEL</v>
      </c>
      <c r="O200" s="12" t="n">
        <f aca="false">IF(AND(G200=1,K200="Yes",N200="POL"),IF(COUNTIFS($A$2:A200,A200,$D$2:D200,D200,$E$2:E200,E200,$G$2:G200,1)=1,1,0),0)</f>
        <v>0</v>
      </c>
      <c r="P200" s="12" t="n">
        <f aca="false">IF(AND(ISNUMBER(G200),K200="Yes",N200="POL"),IF(AND(G200&gt;=1,G200&lt;=3,COUNTIFS($A$2:A200,A200,$D$2:D200,D200,$E$2:E200,E200,$G$2:G200,G200)=1),1,0),0)</f>
        <v>0</v>
      </c>
    </row>
    <row r="201" customFormat="false" ht="15" hidden="false" customHeight="false" outlineLevel="0" collapsed="false">
      <c r="A201" s="12" t="s">
        <v>188</v>
      </c>
      <c r="B201" s="13" t="n">
        <v>46120</v>
      </c>
      <c r="C201" s="12" t="str">
        <f aca="false">IF(A201="","",IFERROR(INDEX(Events!$D$2:$D$67,MATCH(A201,Events!$A$2:$A$67,0)),"Unknown event ID"))</f>
        <v>Scheldeprijs Vrouwen Elite</v>
      </c>
      <c r="D201" s="12" t="s">
        <v>365</v>
      </c>
      <c r="E201" s="12" t="s">
        <v>59</v>
      </c>
      <c r="F201" s="12" t="s">
        <v>78</v>
      </c>
      <c r="G201" s="12"/>
      <c r="H201" s="12" t="s">
        <v>33</v>
      </c>
      <c r="I201" s="12"/>
      <c r="J201" s="12" t="s">
        <v>80</v>
      </c>
      <c r="K201" s="12" t="str">
        <f aca="false">IF(A201="","",IFERROR(IF(INDEX(Events!$J$2:$J$67,MATCH(A201,Events!$A$2:$A$67,0))="Yes",IF(ISNUMBER(SEARCH("Criterium final",D201)),"No","Yes"),"No"),""))</f>
        <v>No</v>
      </c>
      <c r="L201" s="12"/>
      <c r="M201" s="12" t="n">
        <f aca="false">IF(OR(A201="",F201=""),0,IF(COUNTIFS($A$2:A201,A201,$F$2:F201,F201)=1,1,0))</f>
        <v>1</v>
      </c>
      <c r="N201" s="12" t="str">
        <f aca="false">IF(A201="","",IFERROR(INDEX(Events!$F$2:$F$67,MATCH(A201,Events!$A$2:$A$67,0)),""))</f>
        <v>BEL</v>
      </c>
      <c r="O201" s="12" t="n">
        <f aca="false">IF(AND(G201=1,K201="Yes",N201="POL"),IF(COUNTIFS($A$2:A201,A201,$D$2:D201,D201,$E$2:E201,E201,$G$2:G201,1)=1,1,0),0)</f>
        <v>0</v>
      </c>
      <c r="P201" s="12" t="n">
        <f aca="false">IF(AND(ISNUMBER(G201),K201="Yes",N201="POL"),IF(AND(G201&gt;=1,G201&lt;=3,COUNTIFS($A$2:A201,A201,$D$2:D201,D201,$E$2:E201,E201,$G$2:G201,G201)=1),1,0),0)</f>
        <v>0</v>
      </c>
    </row>
    <row r="202" customFormat="false" ht="15" hidden="false" customHeight="false" outlineLevel="0" collapsed="false">
      <c r="A202" s="12" t="s">
        <v>193</v>
      </c>
      <c r="B202" s="13" t="n">
        <v>46129</v>
      </c>
      <c r="C202" s="12" t="str">
        <f aca="false">IF(A202="","",IFERROR(INDEX(Events!$D$2:$D$67,MATCH(A202,Events!$A$2:$A$67,0)),"Unknown event ID"))</f>
        <v>De Brabantse Pijl</v>
      </c>
      <c r="D202" s="12" t="s">
        <v>365</v>
      </c>
      <c r="E202" s="12" t="s">
        <v>59</v>
      </c>
      <c r="F202" s="12" t="s">
        <v>78</v>
      </c>
      <c r="G202" s="12" t="n">
        <v>60</v>
      </c>
      <c r="H202" s="12" t="s">
        <v>366</v>
      </c>
      <c r="I202" s="12"/>
      <c r="J202" s="12" t="s">
        <v>80</v>
      </c>
      <c r="K202" s="12" t="str">
        <f aca="false">IF(A202="","",IFERROR(IF(INDEX(Events!$J$2:$J$67,MATCH(A202,Events!$A$2:$A$67,0))="Yes",IF(ISNUMBER(SEARCH("Criterium final",D202)),"No","Yes"),"No"),""))</f>
        <v>No</v>
      </c>
      <c r="L202" s="12"/>
      <c r="M202" s="12" t="n">
        <f aca="false">IF(OR(A202="",F202=""),0,IF(COUNTIFS($A$2:A202,A202,$F$2:F202,F202)=1,1,0))</f>
        <v>1</v>
      </c>
      <c r="N202" s="12" t="str">
        <f aca="false">IF(A202="","",IFERROR(INDEX(Events!$F$2:$F$67,MATCH(A202,Events!$A$2:$A$67,0)),""))</f>
        <v>BEL</v>
      </c>
      <c r="O202" s="12" t="n">
        <f aca="false">IF(AND(G202=1,K202="Yes",N202="POL"),IF(COUNTIFS($A$2:A202,A202,$D$2:D202,D202,$E$2:E202,E202,$G$2:G202,1)=1,1,0),0)</f>
        <v>0</v>
      </c>
      <c r="P202" s="12" t="n">
        <f aca="false">IF(AND(ISNUMBER(G202),K202="Yes",N202="POL"),IF(AND(G202&gt;=1,G202&lt;=3,COUNTIFS($A$2:A202,A202,$D$2:D202,D202,$E$2:E202,E202,$G$2:G202,G202)=1),1,0),0)</f>
        <v>0</v>
      </c>
    </row>
    <row r="203" customFormat="false" ht="15" hidden="false" customHeight="false" outlineLevel="0" collapsed="false">
      <c r="A203" s="12" t="s">
        <v>204</v>
      </c>
      <c r="B203" s="13" t="n">
        <v>46138</v>
      </c>
      <c r="C203" s="12" t="str">
        <f aca="false">IF(A203="","",IFERROR(INDEX(Events!$D$2:$D$67,MATCH(A203,Events!$A$2:$A$67,0)),"Unknown event ID"))</f>
        <v>Polish Cup (road)</v>
      </c>
      <c r="D203" s="12" t="s">
        <v>393</v>
      </c>
      <c r="E203" s="12" t="s">
        <v>59</v>
      </c>
      <c r="F203" s="12" t="s">
        <v>78</v>
      </c>
      <c r="G203" s="12" t="n">
        <v>1</v>
      </c>
      <c r="H203" s="12" t="s">
        <v>366</v>
      </c>
      <c r="I203" s="12"/>
      <c r="J203" s="12" t="s">
        <v>392</v>
      </c>
      <c r="K203" s="12" t="str">
        <f aca="false">IF(A203="","",IFERROR(IF(INDEX(Events!$J$2:$J$67,MATCH(A203,Events!$A$2:$A$67,0))="Yes",IF(ISNUMBER(SEARCH("Criterium final",D203)),"No","Yes"),"No"),""))</f>
        <v>No</v>
      </c>
      <c r="L203" s="12"/>
      <c r="M203" s="12" t="n">
        <f aca="false">IF(OR(A203="",F203=""),0,IF(COUNTIFS($A$2:A203,A203,$F$2:F203,F203)=1,1,0))</f>
        <v>1</v>
      </c>
      <c r="N203" s="12" t="str">
        <f aca="false">IF(A203="","",IFERROR(INDEX(Events!$F$2:$F$67,MATCH(A203,Events!$A$2:$A$67,0)),""))</f>
        <v>POL</v>
      </c>
      <c r="O203" s="12" t="n">
        <f aca="false">IF(AND(G203=1,K203="Yes",N203="POL"),IF(COUNTIFS($A$2:A203,A203,$D$2:D203,D203,$E$2:E203,E203,$G$2:G203,1)=1,1,0),0)</f>
        <v>0</v>
      </c>
      <c r="P203" s="12" t="n">
        <f aca="false">IF(AND(ISNUMBER(G203),K203="Yes",N203="POL"),IF(AND(G203&gt;=1,G203&lt;=3,COUNTIFS($A$2:A203,A203,$D$2:D203,D203,$E$2:E203,E203,$G$2:G203,G203)=1),1,0),0)</f>
        <v>0</v>
      </c>
    </row>
    <row r="204" customFormat="false" ht="15" hidden="false" customHeight="false" outlineLevel="0" collapsed="false">
      <c r="A204" s="12" t="s">
        <v>207</v>
      </c>
      <c r="B204" s="13" t="n">
        <v>46142</v>
      </c>
      <c r="C204" s="12" t="str">
        <f aca="false">IF(A204="","",IFERROR(INDEX(Events!$D$2:$D$67,MATCH(A204,Events!$A$2:$A$67,0)),"Unknown event ID"))</f>
        <v>Gracia Orlová</v>
      </c>
      <c r="D204" s="12" t="s">
        <v>377</v>
      </c>
      <c r="E204" s="12" t="s">
        <v>59</v>
      </c>
      <c r="F204" s="12" t="s">
        <v>78</v>
      </c>
      <c r="G204" s="12" t="n">
        <v>85</v>
      </c>
      <c r="H204" s="12" t="s">
        <v>366</v>
      </c>
      <c r="I204" s="12"/>
      <c r="J204" s="12" t="s">
        <v>80</v>
      </c>
      <c r="K204" s="12" t="str">
        <f aca="false">IF(A204="","",IFERROR(IF(INDEX(Events!$J$2:$J$67,MATCH(A204,Events!$A$2:$A$67,0))="Yes",IF(ISNUMBER(SEARCH("Criterium final",D204)),"No","Yes"),"No"),""))</f>
        <v>No</v>
      </c>
      <c r="L204" s="12"/>
      <c r="M204" s="12" t="n">
        <f aca="false">IF(OR(A204="",F204=""),0,IF(COUNTIFS($A$2:A204,A204,$F$2:F204,F204)=1,1,0))</f>
        <v>1</v>
      </c>
      <c r="N204" s="12" t="str">
        <f aca="false">IF(A204="","",IFERROR(INDEX(Events!$F$2:$F$67,MATCH(A204,Events!$A$2:$A$67,0)),""))</f>
        <v>CZE</v>
      </c>
      <c r="O204" s="12" t="n">
        <f aca="false">IF(AND(G204=1,K204="Yes",N204="POL"),IF(COUNTIFS($A$2:A204,A204,$D$2:D204,D204,$E$2:E204,E204,$G$2:G204,1)=1,1,0),0)</f>
        <v>0</v>
      </c>
      <c r="P204" s="12" t="n">
        <f aca="false">IF(AND(ISNUMBER(G204),K204="Yes",N204="POL"),IF(AND(G204&gt;=1,G204&lt;=3,COUNTIFS($A$2:A204,A204,$D$2:D204,D204,$E$2:E204,E204,$G$2:G204,G204)=1),1,0),0)</f>
        <v>0</v>
      </c>
    </row>
    <row r="205" customFormat="false" ht="15" hidden="false" customHeight="false" outlineLevel="0" collapsed="false">
      <c r="A205" s="12" t="s">
        <v>207</v>
      </c>
      <c r="B205" s="13" t="n">
        <v>46143</v>
      </c>
      <c r="C205" s="12" t="str">
        <f aca="false">IF(A205="","",IFERROR(INDEX(Events!$D$2:$D$67,MATCH(A205,Events!$A$2:$A$67,0)),"Unknown event ID"))</f>
        <v>Gracia Orlová</v>
      </c>
      <c r="D205" s="12" t="s">
        <v>373</v>
      </c>
      <c r="E205" s="12" t="s">
        <v>59</v>
      </c>
      <c r="F205" s="12" t="s">
        <v>78</v>
      </c>
      <c r="G205" s="12" t="n">
        <v>59</v>
      </c>
      <c r="H205" s="12" t="s">
        <v>366</v>
      </c>
      <c r="I205" s="12"/>
      <c r="J205" s="12" t="s">
        <v>80</v>
      </c>
      <c r="K205" s="12" t="str">
        <f aca="false">IF(A205="","",IFERROR(IF(INDEX(Events!$J$2:$J$67,MATCH(A205,Events!$A$2:$A$67,0))="Yes",IF(ISNUMBER(SEARCH("Criterium final",D205)),"No","Yes"),"No"),""))</f>
        <v>No</v>
      </c>
      <c r="L205" s="12"/>
      <c r="M205" s="12" t="n">
        <f aca="false">IF(OR(A205="",F205=""),0,IF(COUNTIFS($A$2:A205,A205,$F$2:F205,F205)=1,1,0))</f>
        <v>0</v>
      </c>
      <c r="N205" s="12" t="str">
        <f aca="false">IF(A205="","",IFERROR(INDEX(Events!$F$2:$F$67,MATCH(A205,Events!$A$2:$A$67,0)),""))</f>
        <v>CZE</v>
      </c>
      <c r="O205" s="12" t="n">
        <f aca="false">IF(AND(G205=1,K205="Yes",N205="POL"),IF(COUNTIFS($A$2:A205,A205,$D$2:D205,D205,$E$2:E205,E205,$G$2:G205,1)=1,1,0),0)</f>
        <v>0</v>
      </c>
      <c r="P205" s="12" t="n">
        <f aca="false">IF(AND(ISNUMBER(G205),K205="Yes",N205="POL"),IF(AND(G205&gt;=1,G205&lt;=3,COUNTIFS($A$2:A205,A205,$D$2:D205,D205,$E$2:E205,E205,$G$2:G205,G205)=1),1,0),0)</f>
        <v>0</v>
      </c>
    </row>
    <row r="206" customFormat="false" ht="15" hidden="false" customHeight="false" outlineLevel="0" collapsed="false">
      <c r="A206" s="12" t="s">
        <v>207</v>
      </c>
      <c r="B206" s="13" t="n">
        <v>46144</v>
      </c>
      <c r="C206" s="12" t="str">
        <f aca="false">IF(A206="","",IFERROR(INDEX(Events!$D$2:$D$67,MATCH(A206,Events!$A$2:$A$67,0)),"Unknown event ID"))</f>
        <v>Gracia Orlová</v>
      </c>
      <c r="D206" s="12" t="s">
        <v>374</v>
      </c>
      <c r="E206" s="12" t="s">
        <v>59</v>
      </c>
      <c r="F206" s="12" t="s">
        <v>78</v>
      </c>
      <c r="G206" s="12" t="n">
        <v>36</v>
      </c>
      <c r="H206" s="12" t="s">
        <v>366</v>
      </c>
      <c r="I206" s="12"/>
      <c r="J206" s="12" t="s">
        <v>80</v>
      </c>
      <c r="K206" s="12" t="str">
        <f aca="false">IF(A206="","",IFERROR(IF(INDEX(Events!$J$2:$J$67,MATCH(A206,Events!$A$2:$A$67,0))="Yes",IF(ISNUMBER(SEARCH("Criterium final",D206)),"No","Yes"),"No"),""))</f>
        <v>No</v>
      </c>
      <c r="L206" s="12"/>
      <c r="M206" s="12" t="n">
        <f aca="false">IF(OR(A206="",F206=""),0,IF(COUNTIFS($A$2:A206,A206,$F$2:F206,F206)=1,1,0))</f>
        <v>0</v>
      </c>
      <c r="N206" s="12" t="str">
        <f aca="false">IF(A206="","",IFERROR(INDEX(Events!$F$2:$F$67,MATCH(A206,Events!$A$2:$A$67,0)),""))</f>
        <v>CZE</v>
      </c>
      <c r="O206" s="12" t="n">
        <f aca="false">IF(AND(G206=1,K206="Yes",N206="POL"),IF(COUNTIFS($A$2:A206,A206,$D$2:D206,D206,$E$2:E206,E206,$G$2:G206,1)=1,1,0),0)</f>
        <v>0</v>
      </c>
      <c r="P206" s="12" t="n">
        <f aca="false">IF(AND(ISNUMBER(G206),K206="Yes",N206="POL"),IF(AND(G206&gt;=1,G206&lt;=3,COUNTIFS($A$2:A206,A206,$D$2:D206,D206,$E$2:E206,E206,$G$2:G206,G206)=1),1,0),0)</f>
        <v>0</v>
      </c>
    </row>
    <row r="207" customFormat="false" ht="15" hidden="false" customHeight="false" outlineLevel="0" collapsed="false">
      <c r="A207" s="12" t="s">
        <v>207</v>
      </c>
      <c r="B207" s="13" t="n">
        <v>46144</v>
      </c>
      <c r="C207" s="12" t="str">
        <f aca="false">IF(A207="","",IFERROR(INDEX(Events!$D$2:$D$67,MATCH(A207,Events!$A$2:$A$67,0)),"Unknown event ID"))</f>
        <v>Gracia Orlová</v>
      </c>
      <c r="D207" s="12" t="s">
        <v>375</v>
      </c>
      <c r="E207" s="12" t="s">
        <v>59</v>
      </c>
      <c r="F207" s="12" t="s">
        <v>78</v>
      </c>
      <c r="G207" s="12" t="n">
        <v>65</v>
      </c>
      <c r="H207" s="12" t="s">
        <v>366</v>
      </c>
      <c r="I207" s="12"/>
      <c r="J207" s="12" t="s">
        <v>80</v>
      </c>
      <c r="K207" s="12" t="str">
        <f aca="false">IF(A207="","",IFERROR(IF(INDEX(Events!$J$2:$J$67,MATCH(A207,Events!$A$2:$A$67,0))="Yes",IF(ISNUMBER(SEARCH("Criterium final",D207)),"No","Yes"),"No"),""))</f>
        <v>No</v>
      </c>
      <c r="L207" s="12"/>
      <c r="M207" s="12" t="n">
        <f aca="false">IF(OR(A207="",F207=""),0,IF(COUNTIFS($A$2:A207,A207,$F$2:F207,F207)=1,1,0))</f>
        <v>0</v>
      </c>
      <c r="N207" s="12" t="str">
        <f aca="false">IF(A207="","",IFERROR(INDEX(Events!$F$2:$F$67,MATCH(A207,Events!$A$2:$A$67,0)),""))</f>
        <v>CZE</v>
      </c>
      <c r="O207" s="12" t="n">
        <f aca="false">IF(AND(G207=1,K207="Yes",N207="POL"),IF(COUNTIFS($A$2:A207,A207,$D$2:D207,D207,$E$2:E207,E207,$G$2:G207,1)=1,1,0),0)</f>
        <v>0</v>
      </c>
      <c r="P207" s="12" t="n">
        <f aca="false">IF(AND(ISNUMBER(G207),K207="Yes",N207="POL"),IF(AND(G207&gt;=1,G207&lt;=3,COUNTIFS($A$2:A207,A207,$D$2:D207,D207,$E$2:E207,E207,$G$2:G207,G207)=1),1,0),0)</f>
        <v>0</v>
      </c>
    </row>
    <row r="208" customFormat="false" ht="15" hidden="false" customHeight="false" outlineLevel="0" collapsed="false">
      <c r="A208" s="12" t="s">
        <v>207</v>
      </c>
      <c r="B208" s="13" t="n">
        <v>46145</v>
      </c>
      <c r="C208" s="12" t="str">
        <f aca="false">IF(A208="","",IFERROR(INDEX(Events!$D$2:$D$67,MATCH(A208,Events!$A$2:$A$67,0)),"Unknown event ID"))</f>
        <v>Gracia Orlová</v>
      </c>
      <c r="D208" s="12" t="s">
        <v>394</v>
      </c>
      <c r="E208" s="12" t="s">
        <v>59</v>
      </c>
      <c r="F208" s="12" t="s">
        <v>78</v>
      </c>
      <c r="G208" s="12" t="n">
        <v>2</v>
      </c>
      <c r="H208" s="12" t="s">
        <v>366</v>
      </c>
      <c r="I208" s="12"/>
      <c r="J208" s="12" t="s">
        <v>80</v>
      </c>
      <c r="K208" s="12" t="str">
        <f aca="false">IF(A208="","",IFERROR(IF(INDEX(Events!$J$2:$J$67,MATCH(A208,Events!$A$2:$A$67,0))="Yes",IF(ISNUMBER(SEARCH("Criterium final",D208)),"No","Yes"),"No"),""))</f>
        <v>No</v>
      </c>
      <c r="L208" s="12"/>
      <c r="M208" s="12" t="n">
        <f aca="false">IF(OR(A208="",F208=""),0,IF(COUNTIFS($A$2:A208,A208,$F$2:F208,F208)=1,1,0))</f>
        <v>0</v>
      </c>
      <c r="N208" s="12" t="str">
        <f aca="false">IF(A208="","",IFERROR(INDEX(Events!$F$2:$F$67,MATCH(A208,Events!$A$2:$A$67,0)),""))</f>
        <v>CZE</v>
      </c>
      <c r="O208" s="12" t="n">
        <f aca="false">IF(AND(G208=1,K208="Yes",N208="POL"),IF(COUNTIFS($A$2:A208,A208,$D$2:D208,D208,$E$2:E208,E208,$G$2:G208,1)=1,1,0),0)</f>
        <v>0</v>
      </c>
      <c r="P208" s="12" t="n">
        <f aca="false">IF(AND(ISNUMBER(G208),K208="Yes",N208="POL"),IF(AND(G208&gt;=1,G208&lt;=3,COUNTIFS($A$2:A208,A208,$D$2:D208,D208,$E$2:E208,E208,$G$2:G208,G208)=1),1,0),0)</f>
        <v>0</v>
      </c>
    </row>
    <row r="209" customFormat="false" ht="15" hidden="false" customHeight="false" outlineLevel="0" collapsed="false">
      <c r="A209" s="12" t="s">
        <v>207</v>
      </c>
      <c r="B209" s="13" t="n">
        <v>46145</v>
      </c>
      <c r="C209" s="12" t="str">
        <f aca="false">IF(A209="","",IFERROR(INDEX(Events!$D$2:$D$67,MATCH(A209,Events!$A$2:$A$67,0)),"Unknown event ID"))</f>
        <v>Gracia Orlová</v>
      </c>
      <c r="D209" s="12" t="s">
        <v>376</v>
      </c>
      <c r="E209" s="12" t="s">
        <v>59</v>
      </c>
      <c r="F209" s="12" t="s">
        <v>78</v>
      </c>
      <c r="G209" s="12" t="n">
        <v>40</v>
      </c>
      <c r="H209" s="12" t="s">
        <v>366</v>
      </c>
      <c r="I209" s="12"/>
      <c r="J209" s="12" t="s">
        <v>80</v>
      </c>
      <c r="K209" s="12" t="str">
        <f aca="false">IF(A209="","",IFERROR(IF(INDEX(Events!$J$2:$J$67,MATCH(A209,Events!$A$2:$A$67,0))="Yes",IF(ISNUMBER(SEARCH("Criterium final",D209)),"No","Yes"),"No"),""))</f>
        <v>No</v>
      </c>
      <c r="L209" s="12"/>
      <c r="M209" s="12" t="n">
        <f aca="false">IF(OR(A209="",F209=""),0,IF(COUNTIFS($A$2:A209,A209,$F$2:F209,F209)=1,1,0))</f>
        <v>0</v>
      </c>
      <c r="N209" s="12" t="str">
        <f aca="false">IF(A209="","",IFERROR(INDEX(Events!$F$2:$F$67,MATCH(A209,Events!$A$2:$A$67,0)),""))</f>
        <v>CZE</v>
      </c>
      <c r="O209" s="12" t="n">
        <f aca="false">IF(AND(G209=1,K209="Yes",N209="POL"),IF(COUNTIFS($A$2:A209,A209,$D$2:D209,D209,$E$2:E209,E209,$G$2:G209,1)=1,1,0),0)</f>
        <v>0</v>
      </c>
      <c r="P209" s="12" t="n">
        <f aca="false">IF(AND(ISNUMBER(G209),K209="Yes",N209="POL"),IF(AND(G209&gt;=1,G209&lt;=3,COUNTIFS($A$2:A209,A209,$D$2:D209,D209,$E$2:E209,E209,$G$2:G209,G209)=1),1,0),0)</f>
        <v>0</v>
      </c>
    </row>
    <row r="210" customFormat="false" ht="15" hidden="false" customHeight="false" outlineLevel="0" collapsed="false">
      <c r="A210" s="12" t="s">
        <v>207</v>
      </c>
      <c r="B210" s="13" t="n">
        <v>46145</v>
      </c>
      <c r="C210" s="12" t="str">
        <f aca="false">IF(A210="","",IFERROR(INDEX(Events!$D$2:$D$67,MATCH(A210,Events!$A$2:$A$67,0)),"Unknown event ID"))</f>
        <v>Gracia Orlová</v>
      </c>
      <c r="D210" s="12" t="s">
        <v>451</v>
      </c>
      <c r="E210" s="12" t="s">
        <v>59</v>
      </c>
      <c r="F210" s="12" t="s">
        <v>78</v>
      </c>
      <c r="G210" s="12" t="n">
        <v>1</v>
      </c>
      <c r="H210" s="12" t="s">
        <v>366</v>
      </c>
      <c r="I210" s="12"/>
      <c r="J210" s="12" t="s">
        <v>452</v>
      </c>
      <c r="K210" s="12" t="str">
        <f aca="false">IF(A210="","",IFERROR(IF(INDEX(Events!$J$2:$J$67,MATCH(A210,Events!$A$2:$A$67,0))="Yes",IF(ISNUMBER(SEARCH("Criterium final",D210)),"No","Yes"),"No"),""))</f>
        <v>No</v>
      </c>
      <c r="L210" s="12"/>
      <c r="M210" s="12" t="n">
        <f aca="false">IF(OR(A210="",F210=""),0,IF(COUNTIFS($A$2:A210,A210,$F$2:F210,F210)=1,1,0))</f>
        <v>0</v>
      </c>
      <c r="N210" s="12" t="str">
        <f aca="false">IF(A210="","",IFERROR(INDEX(Events!$F$2:$F$67,MATCH(A210,Events!$A$2:$A$67,0)),""))</f>
        <v>CZE</v>
      </c>
      <c r="O210" s="12" t="n">
        <f aca="false">IF(AND(G210=1,K210="Yes",N210="POL"),IF(COUNTIFS($A$2:A210,A210,$D$2:D210,D210,$E$2:E210,E210,$G$2:G210,1)=1,1,0),0)</f>
        <v>0</v>
      </c>
      <c r="P210" s="12" t="n">
        <f aca="false">IF(AND(ISNUMBER(G210),K210="Yes",N210="POL"),IF(AND(G210&gt;=1,G210&lt;=3,COUNTIFS($A$2:A210,A210,$D$2:D210,D210,$E$2:E210,E210,$G$2:G210,G210)=1),1,0),0)</f>
        <v>0</v>
      </c>
    </row>
    <row r="211" customFormat="false" ht="15" hidden="false" customHeight="false" outlineLevel="0" collapsed="false">
      <c r="A211" s="12" t="s">
        <v>207</v>
      </c>
      <c r="B211" s="13" t="n">
        <v>46145</v>
      </c>
      <c r="C211" s="12" t="str">
        <f aca="false">IF(A211="","",IFERROR(INDEX(Events!$D$2:$D$67,MATCH(A211,Events!$A$2:$A$67,0)),"Unknown event ID"))</f>
        <v>Gracia Orlová</v>
      </c>
      <c r="D211" s="12" t="s">
        <v>453</v>
      </c>
      <c r="E211" s="12" t="s">
        <v>59</v>
      </c>
      <c r="F211" s="12" t="s">
        <v>78</v>
      </c>
      <c r="G211" s="12" t="n">
        <v>7</v>
      </c>
      <c r="H211" s="12" t="s">
        <v>366</v>
      </c>
      <c r="I211" s="12"/>
      <c r="J211" s="12" t="s">
        <v>80</v>
      </c>
      <c r="K211" s="12" t="str">
        <f aca="false">IF(A211="","",IFERROR(IF(INDEX(Events!$J$2:$J$67,MATCH(A211,Events!$A$2:$A$67,0))="Yes",IF(ISNUMBER(SEARCH("Criterium final",D211)),"No","Yes"),"No"),""))</f>
        <v>No</v>
      </c>
      <c r="L211" s="12"/>
      <c r="M211" s="12" t="n">
        <f aca="false">IF(OR(A211="",F211=""),0,IF(COUNTIFS($A$2:A211,A211,$F$2:F211,F211)=1,1,0))</f>
        <v>0</v>
      </c>
      <c r="N211" s="12" t="str">
        <f aca="false">IF(A211="","",IFERROR(INDEX(Events!$F$2:$F$67,MATCH(A211,Events!$A$2:$A$67,0)),""))</f>
        <v>CZE</v>
      </c>
      <c r="O211" s="12" t="n">
        <f aca="false">IF(AND(G211=1,K211="Yes",N211="POL"),IF(COUNTIFS($A$2:A211,A211,$D$2:D211,D211,$E$2:E211,E211,$G$2:G211,1)=1,1,0),0)</f>
        <v>0</v>
      </c>
      <c r="P211" s="12" t="n">
        <f aca="false">IF(AND(ISNUMBER(G211),K211="Yes",N211="POL"),IF(AND(G211&gt;=1,G211&lt;=3,COUNTIFS($A$2:A211,A211,$D$2:D211,D211,$E$2:E211,E211,$G$2:G211,G211)=1),1,0),0)</f>
        <v>0</v>
      </c>
    </row>
    <row r="212" customFormat="false" ht="15" hidden="false" customHeight="false" outlineLevel="0" collapsed="false">
      <c r="A212" s="12" t="s">
        <v>207</v>
      </c>
      <c r="B212" s="13" t="n">
        <v>46145</v>
      </c>
      <c r="C212" s="12" t="str">
        <f aca="false">IF(A212="","",IFERROR(INDEX(Events!$D$2:$D$67,MATCH(A212,Events!$A$2:$A$67,0)),"Unknown event ID"))</f>
        <v>Gracia Orlová</v>
      </c>
      <c r="D212" s="12" t="s">
        <v>454</v>
      </c>
      <c r="E212" s="12" t="s">
        <v>59</v>
      </c>
      <c r="F212" s="12" t="s">
        <v>78</v>
      </c>
      <c r="G212" s="12" t="n">
        <v>18</v>
      </c>
      <c r="H212" s="12" t="s">
        <v>366</v>
      </c>
      <c r="I212" s="12"/>
      <c r="J212" s="12" t="s">
        <v>80</v>
      </c>
      <c r="K212" s="12" t="str">
        <f aca="false">IF(A212="","",IFERROR(IF(INDEX(Events!$J$2:$J$67,MATCH(A212,Events!$A$2:$A$67,0))="Yes",IF(ISNUMBER(SEARCH("Criterium final",D212)),"No","Yes"),"No"),""))</f>
        <v>No</v>
      </c>
      <c r="L212" s="12"/>
      <c r="M212" s="12" t="n">
        <f aca="false">IF(OR(A212="",F212=""),0,IF(COUNTIFS($A$2:A212,A212,$F$2:F212,F212)=1,1,0))</f>
        <v>0</v>
      </c>
      <c r="N212" s="12" t="str">
        <f aca="false">IF(A212="","",IFERROR(INDEX(Events!$F$2:$F$67,MATCH(A212,Events!$A$2:$A$67,0)),""))</f>
        <v>CZE</v>
      </c>
      <c r="O212" s="12" t="n">
        <f aca="false">IF(AND(G212=1,K212="Yes",N212="POL"),IF(COUNTIFS($A$2:A212,A212,$D$2:D212,D212,$E$2:E212,E212,$G$2:G212,1)=1,1,0),0)</f>
        <v>0</v>
      </c>
      <c r="P212" s="12" t="n">
        <f aca="false">IF(AND(ISNUMBER(G212),K212="Yes",N212="POL"),IF(AND(G212&gt;=1,G212&lt;=3,COUNTIFS($A$2:A212,A212,$D$2:D212,D212,$E$2:E212,E212,$G$2:G212,G212)=1),1,0),0)</f>
        <v>0</v>
      </c>
    </row>
    <row r="213" customFormat="false" ht="15" hidden="false" customHeight="false" outlineLevel="0" collapsed="false">
      <c r="A213" s="12" t="s">
        <v>220</v>
      </c>
      <c r="B213" s="13" t="n">
        <v>46152</v>
      </c>
      <c r="C213" s="12" t="str">
        <f aca="false">IF(A213="","",IFERROR(INDEX(Events!$D$2:$D$67,MATCH(A213,Events!$A$2:$A$67,0)),"Unknown event ID"))</f>
        <v>Trofee Maarten Wynants</v>
      </c>
      <c r="D213" s="12" t="s">
        <v>365</v>
      </c>
      <c r="E213" s="12" t="s">
        <v>59</v>
      </c>
      <c r="F213" s="12" t="s">
        <v>78</v>
      </c>
      <c r="G213" s="12" t="n">
        <v>9</v>
      </c>
      <c r="H213" s="12" t="s">
        <v>366</v>
      </c>
      <c r="I213" s="12"/>
      <c r="J213" s="12" t="s">
        <v>80</v>
      </c>
      <c r="K213" s="12" t="str">
        <f aca="false">IF(A213="","",IFERROR(IF(INDEX(Events!$J$2:$J$67,MATCH(A213,Events!$A$2:$A$67,0))="Yes",IF(ISNUMBER(SEARCH("Criterium final",D213)),"No","Yes"),"No"),""))</f>
        <v>No</v>
      </c>
      <c r="L213" s="12"/>
      <c r="M213" s="12" t="n">
        <f aca="false">IF(OR(A213="",F213=""),0,IF(COUNTIFS($A$2:A213,A213,$F$2:F213,F213)=1,1,0))</f>
        <v>1</v>
      </c>
      <c r="N213" s="12" t="str">
        <f aca="false">IF(A213="","",IFERROR(INDEX(Events!$F$2:$F$67,MATCH(A213,Events!$A$2:$A$67,0)),""))</f>
        <v>BEL</v>
      </c>
      <c r="O213" s="12" t="n">
        <f aca="false">IF(AND(G213=1,K213="Yes",N213="POL"),IF(COUNTIFS($A$2:A213,A213,$D$2:D213,D213,$E$2:E213,E213,$G$2:G213,1)=1,1,0),0)</f>
        <v>0</v>
      </c>
      <c r="P213" s="12" t="n">
        <f aca="false">IF(AND(ISNUMBER(G213),K213="Yes",N213="POL"),IF(AND(G213&gt;=1,G213&lt;=3,COUNTIFS($A$2:A213,A213,$D$2:D213,D213,$E$2:E213,E213,$G$2:G213,G213)=1),1,0),0)</f>
        <v>0</v>
      </c>
    </row>
    <row r="214" customFormat="false" ht="15" hidden="false" customHeight="false" outlineLevel="0" collapsed="false">
      <c r="A214" s="12" t="s">
        <v>235</v>
      </c>
      <c r="B214" s="13" t="n">
        <v>46180</v>
      </c>
      <c r="C214" s="12" t="str">
        <f aca="false">IF(A214="","",IFERROR(INDEX(Events!$D$2:$D$67,MATCH(A214,Events!$A$2:$A$67,0)),"Unknown event ID"))</f>
        <v>Dwars door de Westhoek</v>
      </c>
      <c r="D214" s="12" t="s">
        <v>365</v>
      </c>
      <c r="E214" s="12" t="s">
        <v>59</v>
      </c>
      <c r="F214" s="12" t="s">
        <v>78</v>
      </c>
      <c r="G214" s="12"/>
      <c r="H214" s="12" t="s">
        <v>33</v>
      </c>
      <c r="I214" s="12"/>
      <c r="J214" s="12" t="s">
        <v>80</v>
      </c>
      <c r="K214" s="12" t="str">
        <f aca="false">IF(A214="","",IFERROR(IF(INDEX(Events!$J$2:$J$67,MATCH(A214,Events!$A$2:$A$67,0))="Yes",IF(ISNUMBER(SEARCH("Criterium final",D214)),"No","Yes"),"No"),""))</f>
        <v>No</v>
      </c>
      <c r="L214" s="12"/>
      <c r="M214" s="12" t="n">
        <f aca="false">IF(OR(A214="",F214=""),0,IF(COUNTIFS($A$2:A214,A214,$F$2:F214,F214)=1,1,0))</f>
        <v>1</v>
      </c>
      <c r="N214" s="12" t="str">
        <f aca="false">IF(A214="","",IFERROR(INDEX(Events!$F$2:$F$67,MATCH(A214,Events!$A$2:$A$67,0)),""))</f>
        <v>BEL</v>
      </c>
      <c r="O214" s="12" t="n">
        <f aca="false">IF(AND(G214=1,K214="Yes",N214="POL"),IF(COUNTIFS($A$2:A214,A214,$D$2:D214,D214,$E$2:E214,E214,$G$2:G214,1)=1,1,0),0)</f>
        <v>0</v>
      </c>
      <c r="P214" s="12" t="n">
        <f aca="false">IF(AND(ISNUMBER(G214),K214="Yes",N214="POL"),IF(AND(G214&gt;=1,G214&lt;=3,COUNTIFS($A$2:A214,A214,$D$2:D214,D214,$E$2:E214,E214,$G$2:G214,G214)=1),1,0),0)</f>
        <v>0</v>
      </c>
    </row>
    <row r="215" customFormat="false" ht="15" hidden="false" customHeight="false" outlineLevel="0" collapsed="false">
      <c r="A215" s="12" t="s">
        <v>243</v>
      </c>
      <c r="B215" s="13" t="n">
        <v>46194</v>
      </c>
      <c r="C215" s="12" t="str">
        <f aca="false">IF(A215="","",IFERROR(INDEX(Events!$D$2:$D$67,MATCH(A215,Events!$A$2:$A$67,0)),"Unknown event ID"))</f>
        <v>LOTTO Thüringen Women Cycling Challenge</v>
      </c>
      <c r="D215" s="12" t="s">
        <v>365</v>
      </c>
      <c r="E215" s="12" t="s">
        <v>59</v>
      </c>
      <c r="F215" s="12" t="s">
        <v>78</v>
      </c>
      <c r="G215" s="12" t="n">
        <v>35</v>
      </c>
      <c r="H215" s="12" t="s">
        <v>366</v>
      </c>
      <c r="I215" s="12"/>
      <c r="J215" s="12" t="s">
        <v>80</v>
      </c>
      <c r="K215" s="12" t="str">
        <f aca="false">IF(A215="","",IFERROR(IF(INDEX(Events!$J$2:$J$67,MATCH(A215,Events!$A$2:$A$67,0))="Yes",IF(ISNUMBER(SEARCH("Criterium final",D215)),"No","Yes"),"No"),""))</f>
        <v>No</v>
      </c>
      <c r="L215" s="12"/>
      <c r="M215" s="12" t="n">
        <f aca="false">IF(OR(A215="",F215=""),0,IF(COUNTIFS($A$2:A215,A215,$F$2:F215,F215)=1,1,0))</f>
        <v>1</v>
      </c>
      <c r="N215" s="12" t="str">
        <f aca="false">IF(A215="","",IFERROR(INDEX(Events!$F$2:$F$67,MATCH(A215,Events!$A$2:$A$67,0)),""))</f>
        <v>GER</v>
      </c>
      <c r="O215" s="12" t="n">
        <f aca="false">IF(AND(G215=1,K215="Yes",N215="POL"),IF(COUNTIFS($A$2:A215,A215,$D$2:D215,D215,$E$2:E215,E215,$G$2:G215,1)=1,1,0),0)</f>
        <v>0</v>
      </c>
      <c r="P215" s="12" t="n">
        <f aca="false">IF(AND(ISNUMBER(G215),K215="Yes",N215="POL"),IF(AND(G215&gt;=1,G215&lt;=3,COUNTIFS($A$2:A215,A215,$D$2:D215,D215,$E$2:E215,E215,$G$2:G215,G215)=1),1,0),0)</f>
        <v>0</v>
      </c>
    </row>
    <row r="216" customFormat="false" ht="15" hidden="false" customHeight="false" outlineLevel="0" collapsed="false">
      <c r="A216" s="12" t="s">
        <v>246</v>
      </c>
      <c r="B216" s="13" t="n">
        <v>46198</v>
      </c>
      <c r="C216" s="12" t="str">
        <f aca="false">IF(A216="","",IFERROR(INDEX(Events!$D$2:$D$67,MATCH(A216,Events!$A$2:$A$67,0)),"Unknown event ID"))</f>
        <v>Polish Road Championships (ITT + road race)</v>
      </c>
      <c r="D216" s="12" t="s">
        <v>387</v>
      </c>
      <c r="E216" s="12" t="s">
        <v>66</v>
      </c>
      <c r="F216" s="12" t="s">
        <v>78</v>
      </c>
      <c r="G216" s="12" t="n">
        <v>10</v>
      </c>
      <c r="H216" s="12" t="s">
        <v>366</v>
      </c>
      <c r="I216" s="12"/>
      <c r="J216" s="12" t="s">
        <v>80</v>
      </c>
      <c r="K216" s="12" t="str">
        <f aca="false">IF(A216="","",IFERROR(IF(INDEX(Events!$J$2:$J$67,MATCH(A216,Events!$A$2:$A$67,0))="Yes",IF(ISNUMBER(SEARCH("Criterium final",D216)),"No","Yes"),"No"),""))</f>
        <v>Yes</v>
      </c>
      <c r="L216" s="12"/>
      <c r="M216" s="12" t="n">
        <f aca="false">IF(OR(A216="",F216=""),0,IF(COUNTIFS($A$2:A216,A216,$F$2:F216,F216)=1,1,0))</f>
        <v>1</v>
      </c>
      <c r="N216" s="12" t="str">
        <f aca="false">IF(A216="","",IFERROR(INDEX(Events!$F$2:$F$67,MATCH(A216,Events!$A$2:$A$67,0)),""))</f>
        <v>POL</v>
      </c>
      <c r="O216" s="12" t="n">
        <f aca="false">IF(AND(G216=1,K216="Yes",N216="POL"),IF(COUNTIFS($A$2:A216,A216,$D$2:D216,D216,$E$2:E216,E216,$G$2:G216,1)=1,1,0),0)</f>
        <v>0</v>
      </c>
      <c r="P216" s="12" t="n">
        <f aca="false">IF(AND(ISNUMBER(G216),K216="Yes",N216="POL"),IF(AND(G216&gt;=1,G216&lt;=3,COUNTIFS($A$2:A216,A216,$D$2:D216,D216,$E$2:E216,E216,$G$2:G216,G216)=1),1,0),0)</f>
        <v>0</v>
      </c>
    </row>
    <row r="217" customFormat="false" ht="15" hidden="false" customHeight="false" outlineLevel="0" collapsed="false">
      <c r="A217" s="12" t="s">
        <v>246</v>
      </c>
      <c r="B217" s="13" t="n">
        <v>46200</v>
      </c>
      <c r="C217" s="12" t="str">
        <f aca="false">IF(A217="","",IFERROR(INDEX(Events!$D$2:$D$67,MATCH(A217,Events!$A$2:$A$67,0)),"Unknown event ID"))</f>
        <v>Polish Road Championships (ITT + road race)</v>
      </c>
      <c r="D217" s="12" t="s">
        <v>367</v>
      </c>
      <c r="E217" s="12" t="s">
        <v>59</v>
      </c>
      <c r="F217" s="12" t="s">
        <v>78</v>
      </c>
      <c r="G217" s="12" t="n">
        <v>9</v>
      </c>
      <c r="H217" s="12" t="s">
        <v>366</v>
      </c>
      <c r="I217" s="12"/>
      <c r="J217" s="12" t="s">
        <v>80</v>
      </c>
      <c r="K217" s="12" t="str">
        <f aca="false">IF(A217="","",IFERROR(IF(INDEX(Events!$J$2:$J$67,MATCH(A217,Events!$A$2:$A$67,0))="Yes",IF(ISNUMBER(SEARCH("Criterium final",D217)),"No","Yes"),"No"),""))</f>
        <v>Yes</v>
      </c>
      <c r="L217" s="12"/>
      <c r="M217" s="12" t="n">
        <f aca="false">IF(OR(A217="",F217=""),0,IF(COUNTIFS($A$2:A217,A217,$F$2:F217,F217)=1,1,0))</f>
        <v>0</v>
      </c>
      <c r="N217" s="12" t="str">
        <f aca="false">IF(A217="","",IFERROR(INDEX(Events!$F$2:$F$67,MATCH(A217,Events!$A$2:$A$67,0)),""))</f>
        <v>POL</v>
      </c>
      <c r="O217" s="12" t="n">
        <f aca="false">IF(AND(G217=1,K217="Yes",N217="POL"),IF(COUNTIFS($A$2:A217,A217,$D$2:D217,D217,$E$2:E217,E217,$G$2:G217,1)=1,1,0),0)</f>
        <v>0</v>
      </c>
      <c r="P217" s="12" t="n">
        <f aca="false">IF(AND(ISNUMBER(G217),K217="Yes",N217="POL"),IF(AND(G217&gt;=1,G217&lt;=3,COUNTIFS($A$2:A217,A217,$D$2:D217,D217,$E$2:E217,E217,$G$2:G217,G217)=1),1,0),0)</f>
        <v>0</v>
      </c>
    </row>
    <row r="218" customFormat="false" ht="15" hidden="false" customHeight="false" outlineLevel="0" collapsed="false">
      <c r="A218" s="12" t="s">
        <v>249</v>
      </c>
      <c r="B218" s="13" t="n">
        <v>46213</v>
      </c>
      <c r="C218" s="12" t="str">
        <f aca="false">IF(A218="","",IFERROR(INDEX(Events!$D$2:$D$67,MATCH(A218,Events!$A$2:$A$67,0)),"Unknown event ID"))</f>
        <v>UEC Track Junior &amp; U23 European Championships</v>
      </c>
      <c r="D218" s="12" t="s">
        <v>369</v>
      </c>
      <c r="E218" s="12" t="s">
        <v>66</v>
      </c>
      <c r="F218" s="12" t="s">
        <v>78</v>
      </c>
      <c r="G218" s="12" t="n">
        <v>3</v>
      </c>
      <c r="H218" s="12" t="s">
        <v>366</v>
      </c>
      <c r="I218" s="12" t="s">
        <v>399</v>
      </c>
      <c r="J218" s="12" t="s">
        <v>400</v>
      </c>
      <c r="K218" s="12" t="str">
        <f aca="false">IF(A218="","",IFERROR(IF(INDEX(Events!$J$2:$J$67,MATCH(A218,Events!$A$2:$A$67,0))="Yes",IF(ISNUMBER(SEARCH("Criterium final",D218)),"No","Yes"),"No"),""))</f>
        <v>No</v>
      </c>
      <c r="L218" s="12"/>
      <c r="M218" s="12" t="n">
        <f aca="false">IF(OR(A218="",F218=""),0,IF(COUNTIFS($A$2:A218,A218,$F$2:F218,F218)=1,1,0))</f>
        <v>1</v>
      </c>
      <c r="N218" s="12" t="str">
        <f aca="false">IF(A218="","",IFERROR(INDEX(Events!$F$2:$F$67,MATCH(A218,Events!$A$2:$A$67,0)),""))</f>
        <v>GER</v>
      </c>
      <c r="O218" s="12" t="n">
        <f aca="false">IF(AND(G218=1,K218="Yes",N218="POL"),IF(COUNTIFS($A$2:A218,A218,$D$2:D218,D218,$E$2:E218,E218,$G$2:G218,1)=1,1,0),0)</f>
        <v>0</v>
      </c>
      <c r="P218" s="12" t="n">
        <f aca="false">IF(AND(ISNUMBER(G218),K218="Yes",N218="POL"),IF(AND(G218&gt;=1,G218&lt;=3,COUNTIFS($A$2:A218,A218,$D$2:D218,D218,$E$2:E218,E218,$G$2:G218,G218)=1),1,0),0)</f>
        <v>0</v>
      </c>
    </row>
    <row r="219" customFormat="false" ht="15" hidden="false" customHeight="false" outlineLevel="0" collapsed="false">
      <c r="A219" s="12" t="s">
        <v>249</v>
      </c>
      <c r="B219" s="13" t="n">
        <v>46213</v>
      </c>
      <c r="C219" s="12" t="str">
        <f aca="false">IF(A219="","",IFERROR(INDEX(Events!$D$2:$D$67,MATCH(A219,Events!$A$2:$A$67,0)),"Unknown event ID"))</f>
        <v>UEC Track Junior &amp; U23 European Championships</v>
      </c>
      <c r="D219" s="12" t="s">
        <v>389</v>
      </c>
      <c r="E219" s="12" t="s">
        <v>66</v>
      </c>
      <c r="F219" s="12" t="s">
        <v>78</v>
      </c>
      <c r="G219" s="12" t="n">
        <v>5</v>
      </c>
      <c r="H219" s="12" t="s">
        <v>366</v>
      </c>
      <c r="I219" s="12"/>
      <c r="J219" s="12" t="s">
        <v>455</v>
      </c>
      <c r="K219" s="12" t="str">
        <f aca="false">IF(A219="","",IFERROR(IF(INDEX(Events!$J$2:$J$67,MATCH(A219,Events!$A$2:$A$67,0))="Yes",IF(ISNUMBER(SEARCH("Criterium final",D219)),"No","Yes"),"No"),""))</f>
        <v>No</v>
      </c>
      <c r="L219" s="12"/>
      <c r="M219" s="12" t="n">
        <f aca="false">IF(OR(A219="",F219=""),0,IF(COUNTIFS($A$2:A219,A219,$F$2:F219,F219)=1,1,0))</f>
        <v>0</v>
      </c>
      <c r="N219" s="12" t="str">
        <f aca="false">IF(A219="","",IFERROR(INDEX(Events!$F$2:$F$67,MATCH(A219,Events!$A$2:$A$67,0)),""))</f>
        <v>GER</v>
      </c>
      <c r="O219" s="12" t="n">
        <f aca="false">IF(AND(G219=1,K219="Yes",N219="POL"),IF(COUNTIFS($A$2:A219,A219,$D$2:D219,D219,$E$2:E219,E219,$G$2:G219,1)=1,1,0),0)</f>
        <v>0</v>
      </c>
      <c r="P219" s="12" t="n">
        <f aca="false">IF(AND(ISNUMBER(G219),K219="Yes",N219="POL"),IF(AND(G219&gt;=1,G219&lt;=3,COUNTIFS($A$2:A219,A219,$D$2:D219,D219,$E$2:E219,E219,$G$2:G219,G219)=1),1,0),0)</f>
        <v>0</v>
      </c>
    </row>
    <row r="220" customFormat="false" ht="15" hidden="false" customHeight="false" outlineLevel="0" collapsed="false">
      <c r="A220" s="12" t="s">
        <v>249</v>
      </c>
      <c r="B220" s="13" t="n">
        <v>46215</v>
      </c>
      <c r="C220" s="12" t="str">
        <f aca="false">IF(A220="","",IFERROR(INDEX(Events!$D$2:$D$67,MATCH(A220,Events!$A$2:$A$67,0)),"Unknown event ID"))</f>
        <v>UEC Track Junior &amp; U23 European Championships</v>
      </c>
      <c r="D220" s="12" t="s">
        <v>456</v>
      </c>
      <c r="E220" s="12" t="s">
        <v>66</v>
      </c>
      <c r="F220" s="12" t="s">
        <v>78</v>
      </c>
      <c r="G220" s="12" t="n">
        <v>3</v>
      </c>
      <c r="H220" s="12" t="s">
        <v>366</v>
      </c>
      <c r="I220" s="12"/>
      <c r="J220" s="12" t="s">
        <v>412</v>
      </c>
      <c r="K220" s="12" t="str">
        <f aca="false">IF(A220="","",IFERROR(IF(INDEX(Events!$J$2:$J$67,MATCH(A220,Events!$A$2:$A$67,0))="Yes",IF(ISNUMBER(SEARCH("Criterium final",D220)),"No","Yes"),"No"),""))</f>
        <v>No</v>
      </c>
      <c r="L220" s="12"/>
      <c r="M220" s="12" t="n">
        <f aca="false">IF(OR(A220="",F220=""),0,IF(COUNTIFS($A$2:A220,A220,$F$2:F220,F220)=1,1,0))</f>
        <v>0</v>
      </c>
      <c r="N220" s="12" t="str">
        <f aca="false">IF(A220="","",IFERROR(INDEX(Events!$F$2:$F$67,MATCH(A220,Events!$A$2:$A$67,0)),""))</f>
        <v>GER</v>
      </c>
      <c r="O220" s="12" t="n">
        <f aca="false">IF(AND(G220=1,K220="Yes",N220="POL"),IF(COUNTIFS($A$2:A220,A220,$D$2:D220,D220,$E$2:E220,E220,$G$2:G220,1)=1,1,0),0)</f>
        <v>0</v>
      </c>
      <c r="P220" s="12" t="n">
        <f aca="false">IF(AND(ISNUMBER(G220),K220="Yes",N220="POL"),IF(AND(G220&gt;=1,G220&lt;=3,COUNTIFS($A$2:A220,A220,$D$2:D220,D220,$E$2:E220,E220,$G$2:G220,G220)=1),1,0),0)</f>
        <v>0</v>
      </c>
    </row>
    <row r="221" customFormat="false" ht="15" hidden="false" customHeight="false" outlineLevel="0" collapsed="false">
      <c r="A221" s="12" t="s">
        <v>255</v>
      </c>
      <c r="B221" s="13" t="n">
        <v>46227</v>
      </c>
      <c r="C221" s="12" t="str">
        <f aca="false">IF(A221="","",IFERROR(INDEX(Events!$D$2:$D$67,MATCH(A221,Events!$A$2:$A$67,0)),"Unknown event ID"))</f>
        <v>Tour de Pologne Women</v>
      </c>
      <c r="D221" s="12" t="s">
        <v>377</v>
      </c>
      <c r="E221" s="12" t="s">
        <v>59</v>
      </c>
      <c r="F221" s="12" t="s">
        <v>78</v>
      </c>
      <c r="G221" s="12" t="n">
        <v>29</v>
      </c>
      <c r="H221" s="12" t="s">
        <v>366</v>
      </c>
      <c r="I221" s="12"/>
      <c r="J221" s="12" t="s">
        <v>80</v>
      </c>
      <c r="K221" s="12" t="str">
        <f aca="false">IF(A221="","",IFERROR(IF(INDEX(Events!$J$2:$J$67,MATCH(A221,Events!$A$2:$A$67,0))="Yes",IF(ISNUMBER(SEARCH("Criterium final",D221)),"No","Yes"),"No"),""))</f>
        <v>No</v>
      </c>
      <c r="L221" s="12"/>
      <c r="M221" s="12" t="n">
        <f aca="false">IF(OR(A221="",F221=""),0,IF(COUNTIFS($A$2:A221,A221,$F$2:F221,F221)=1,1,0))</f>
        <v>1</v>
      </c>
      <c r="N221" s="12" t="str">
        <f aca="false">IF(A221="","",IFERROR(INDEX(Events!$F$2:$F$67,MATCH(A221,Events!$A$2:$A$67,0)),""))</f>
        <v>POL</v>
      </c>
      <c r="O221" s="12" t="n">
        <f aca="false">IF(AND(G221=1,K221="Yes",N221="POL"),IF(COUNTIFS($A$2:A221,A221,$D$2:D221,D221,$E$2:E221,E221,$G$2:G221,1)=1,1,0),0)</f>
        <v>0</v>
      </c>
      <c r="P221" s="12" t="n">
        <f aca="false">IF(AND(ISNUMBER(G221),K221="Yes",N221="POL"),IF(AND(G221&gt;=1,G221&lt;=3,COUNTIFS($A$2:A221,A221,$D$2:D221,D221,$E$2:E221,E221,$G$2:G221,G221)=1),1,0),0)</f>
        <v>0</v>
      </c>
    </row>
    <row r="222" customFormat="false" ht="15" hidden="false" customHeight="false" outlineLevel="0" collapsed="false">
      <c r="A222" s="12" t="s">
        <v>255</v>
      </c>
      <c r="B222" s="13" t="n">
        <v>46228</v>
      </c>
      <c r="C222" s="12" t="str">
        <f aca="false">IF(A222="","",IFERROR(INDEX(Events!$D$2:$D$67,MATCH(A222,Events!$A$2:$A$67,0)),"Unknown event ID"))</f>
        <v>Tour de Pologne Women</v>
      </c>
      <c r="D222" s="12" t="s">
        <v>373</v>
      </c>
      <c r="E222" s="12" t="s">
        <v>59</v>
      </c>
      <c r="F222" s="12" t="s">
        <v>78</v>
      </c>
      <c r="G222" s="12" t="n">
        <v>100</v>
      </c>
      <c r="H222" s="12" t="s">
        <v>366</v>
      </c>
      <c r="I222" s="12"/>
      <c r="J222" s="12" t="s">
        <v>80</v>
      </c>
      <c r="K222" s="12" t="str">
        <f aca="false">IF(A222="","",IFERROR(IF(INDEX(Events!$J$2:$J$67,MATCH(A222,Events!$A$2:$A$67,0))="Yes",IF(ISNUMBER(SEARCH("Criterium final",D222)),"No","Yes"),"No"),""))</f>
        <v>No</v>
      </c>
      <c r="L222" s="12"/>
      <c r="M222" s="12" t="n">
        <f aca="false">IF(OR(A222="",F222=""),0,IF(COUNTIFS($A$2:A222,A222,$F$2:F222,F222)=1,1,0))</f>
        <v>0</v>
      </c>
      <c r="N222" s="12" t="str">
        <f aca="false">IF(A222="","",IFERROR(INDEX(Events!$F$2:$F$67,MATCH(A222,Events!$A$2:$A$67,0)),""))</f>
        <v>POL</v>
      </c>
      <c r="O222" s="12" t="n">
        <f aca="false">IF(AND(G222=1,K222="Yes",N222="POL"),IF(COUNTIFS($A$2:A222,A222,$D$2:D222,D222,$E$2:E222,E222,$G$2:G222,1)=1,1,0),0)</f>
        <v>0</v>
      </c>
      <c r="P222" s="12" t="n">
        <f aca="false">IF(AND(ISNUMBER(G222),K222="Yes",N222="POL"),IF(AND(G222&gt;=1,G222&lt;=3,COUNTIFS($A$2:A222,A222,$D$2:D222,D222,$E$2:E222,E222,$G$2:G222,G222)=1),1,0),0)</f>
        <v>0</v>
      </c>
    </row>
    <row r="223" customFormat="false" ht="15" hidden="false" customHeight="false" outlineLevel="0" collapsed="false">
      <c r="A223" s="12" t="s">
        <v>255</v>
      </c>
      <c r="B223" s="13" t="n">
        <v>46229</v>
      </c>
      <c r="C223" s="12" t="str">
        <f aca="false">IF(A223="","",IFERROR(INDEX(Events!$D$2:$D$67,MATCH(A223,Events!$A$2:$A$67,0)),"Unknown event ID"))</f>
        <v>Tour de Pologne Women</v>
      </c>
      <c r="D223" s="12" t="s">
        <v>374</v>
      </c>
      <c r="E223" s="12" t="s">
        <v>59</v>
      </c>
      <c r="F223" s="12" t="s">
        <v>78</v>
      </c>
      <c r="G223" s="12" t="n">
        <v>56</v>
      </c>
      <c r="H223" s="12" t="s">
        <v>366</v>
      </c>
      <c r="I223" s="12"/>
      <c r="J223" s="12" t="s">
        <v>80</v>
      </c>
      <c r="K223" s="12" t="str">
        <f aca="false">IF(A223="","",IFERROR(IF(INDEX(Events!$J$2:$J$67,MATCH(A223,Events!$A$2:$A$67,0))="Yes",IF(ISNUMBER(SEARCH("Criterium final",D223)),"No","Yes"),"No"),""))</f>
        <v>No</v>
      </c>
      <c r="L223" s="12"/>
      <c r="M223" s="12" t="n">
        <f aca="false">IF(OR(A223="",F223=""),0,IF(COUNTIFS($A$2:A223,A223,$F$2:F223,F223)=1,1,0))</f>
        <v>0</v>
      </c>
      <c r="N223" s="12" t="str">
        <f aca="false">IF(A223="","",IFERROR(INDEX(Events!$F$2:$F$67,MATCH(A223,Events!$A$2:$A$67,0)),""))</f>
        <v>POL</v>
      </c>
      <c r="O223" s="12" t="n">
        <f aca="false">IF(AND(G223=1,K223="Yes",N223="POL"),IF(COUNTIFS($A$2:A223,A223,$D$2:D223,D223,$E$2:E223,E223,$G$2:G223,1)=1,1,0),0)</f>
        <v>0</v>
      </c>
      <c r="P223" s="12" t="n">
        <f aca="false">IF(AND(ISNUMBER(G223),K223="Yes",N223="POL"),IF(AND(G223&gt;=1,G223&lt;=3,COUNTIFS($A$2:A223,A223,$D$2:D223,D223,$E$2:E223,E223,$G$2:G223,G223)=1),1,0),0)</f>
        <v>0</v>
      </c>
    </row>
    <row r="224" customFormat="false" ht="15" hidden="false" customHeight="false" outlineLevel="0" collapsed="false">
      <c r="A224" s="12" t="s">
        <v>255</v>
      </c>
      <c r="B224" s="13" t="n">
        <v>46229</v>
      </c>
      <c r="C224" s="12" t="str">
        <f aca="false">IF(A224="","",IFERROR(INDEX(Events!$D$2:$D$67,MATCH(A224,Events!$A$2:$A$67,0)),"Unknown event ID"))</f>
        <v>Tour de Pologne Women</v>
      </c>
      <c r="D224" s="12" t="s">
        <v>376</v>
      </c>
      <c r="E224" s="12" t="s">
        <v>59</v>
      </c>
      <c r="F224" s="12" t="s">
        <v>78</v>
      </c>
      <c r="G224" s="12" t="n">
        <v>52</v>
      </c>
      <c r="H224" s="12" t="s">
        <v>366</v>
      </c>
      <c r="I224" s="12"/>
      <c r="J224" s="12" t="s">
        <v>80</v>
      </c>
      <c r="K224" s="12" t="str">
        <f aca="false">IF(A224="","",IFERROR(IF(INDEX(Events!$J$2:$J$67,MATCH(A224,Events!$A$2:$A$67,0))="Yes",IF(ISNUMBER(SEARCH("Criterium final",D224)),"No","Yes"),"No"),""))</f>
        <v>No</v>
      </c>
      <c r="L224" s="12"/>
      <c r="M224" s="12" t="n">
        <f aca="false">IF(OR(A224="",F224=""),0,IF(COUNTIFS($A$2:A224,A224,$F$2:F224,F224)=1,1,0))</f>
        <v>0</v>
      </c>
      <c r="N224" s="12" t="str">
        <f aca="false">IF(A224="","",IFERROR(INDEX(Events!$F$2:$F$67,MATCH(A224,Events!$A$2:$A$67,0)),""))</f>
        <v>POL</v>
      </c>
      <c r="O224" s="12" t="n">
        <f aca="false">IF(AND(G224=1,K224="Yes",N224="POL"),IF(COUNTIFS($A$2:A224,A224,$D$2:D224,D224,$E$2:E224,E224,$G$2:G224,1)=1,1,0),0)</f>
        <v>0</v>
      </c>
      <c r="P224" s="12" t="n">
        <f aca="false">IF(AND(ISNUMBER(G224),K224="Yes",N224="POL"),IF(AND(G224&gt;=1,G224&lt;=3,COUNTIFS($A$2:A224,A224,$D$2:D224,D224,$E$2:E224,E224,$G$2:G224,G224)=1),1,0),0)</f>
        <v>0</v>
      </c>
    </row>
    <row r="225" customFormat="false" ht="15" hidden="false" customHeight="false" outlineLevel="0" collapsed="false">
      <c r="A225" s="12" t="s">
        <v>270</v>
      </c>
      <c r="B225" s="13" t="n">
        <v>46235</v>
      </c>
      <c r="C225" s="12" t="str">
        <f aca="false">IF(A225="","",IFERROR(INDEX(Events!$D$2:$D$67,MATCH(A225,Events!$A$2:$A$67,0)),"Unknown event ID"))</f>
        <v>Polish Elite Track Championships</v>
      </c>
      <c r="D225" s="12" t="s">
        <v>369</v>
      </c>
      <c r="E225" s="12" t="s">
        <v>59</v>
      </c>
      <c r="F225" s="12" t="s">
        <v>78</v>
      </c>
      <c r="G225" s="12" t="n">
        <v>1</v>
      </c>
      <c r="H225" s="12" t="s">
        <v>366</v>
      </c>
      <c r="I225" s="12" t="s">
        <v>457</v>
      </c>
      <c r="J225" s="12" t="s">
        <v>379</v>
      </c>
      <c r="K225" s="12" t="str">
        <f aca="false">IF(A225="","",IFERROR(IF(INDEX(Events!$J$2:$J$67,MATCH(A225,Events!$A$2:$A$67,0))="Yes",IF(ISNUMBER(SEARCH("Criterium final",D225)),"No","Yes"),"No"),""))</f>
        <v>Yes</v>
      </c>
      <c r="L225" s="12"/>
      <c r="M225" s="12" t="n">
        <f aca="false">IF(OR(A225="",F225=""),0,IF(COUNTIFS($A$2:A225,A225,$F$2:F225,F225)=1,1,0))</f>
        <v>1</v>
      </c>
      <c r="N225" s="12" t="str">
        <f aca="false">IF(A225="","",IFERROR(INDEX(Events!$F$2:$F$67,MATCH(A225,Events!$A$2:$A$67,0)),""))</f>
        <v>POL</v>
      </c>
      <c r="O225" s="12" t="n">
        <f aca="false">IF(AND(G225=1,K225="Yes",N225="POL"),IF(COUNTIFS($A$2:A225,A225,$D$2:D225,D225,$E$2:E225,E225,$G$2:G225,1)=1,1,0),0)</f>
        <v>0</v>
      </c>
      <c r="P225" s="12" t="n">
        <f aca="false">IF(AND(ISNUMBER(G225),K225="Yes",N225="POL"),IF(AND(G225&gt;=1,G225&lt;=3,COUNTIFS($A$2:A225,A225,$D$2:D225,D225,$E$2:E225,E225,$G$2:G225,G225)=1),1,0),0)</f>
        <v>0</v>
      </c>
    </row>
    <row r="226" customFormat="false" ht="15" hidden="false" customHeight="false" outlineLevel="0" collapsed="false">
      <c r="A226" s="12" t="s">
        <v>270</v>
      </c>
      <c r="B226" s="13" t="n">
        <v>46237</v>
      </c>
      <c r="C226" s="12" t="str">
        <f aca="false">IF(A226="","",IFERROR(INDEX(Events!$D$2:$D$67,MATCH(A226,Events!$A$2:$A$67,0)),"Unknown event ID"))</f>
        <v>Polish Elite Track Championships</v>
      </c>
      <c r="D226" s="12" t="s">
        <v>456</v>
      </c>
      <c r="E226" s="12" t="s">
        <v>59</v>
      </c>
      <c r="F226" s="12" t="s">
        <v>78</v>
      </c>
      <c r="G226" s="12" t="n">
        <v>1</v>
      </c>
      <c r="H226" s="12" t="s">
        <v>366</v>
      </c>
      <c r="I226" s="12"/>
      <c r="J226" s="12" t="s">
        <v>383</v>
      </c>
      <c r="K226" s="12" t="str">
        <f aca="false">IF(A226="","",IFERROR(IF(INDEX(Events!$J$2:$J$67,MATCH(A226,Events!$A$2:$A$67,0))="Yes",IF(ISNUMBER(SEARCH("Criterium final",D226)),"No","Yes"),"No"),""))</f>
        <v>Yes</v>
      </c>
      <c r="L226" s="12"/>
      <c r="M226" s="12" t="n">
        <f aca="false">IF(OR(A226="",F226=""),0,IF(COUNTIFS($A$2:A226,A226,$F$2:F226,F226)=1,1,0))</f>
        <v>0</v>
      </c>
      <c r="N226" s="12" t="str">
        <f aca="false">IF(A226="","",IFERROR(INDEX(Events!$F$2:$F$67,MATCH(A226,Events!$A$2:$A$67,0)),""))</f>
        <v>POL</v>
      </c>
      <c r="O226" s="12" t="n">
        <f aca="false">IF(AND(G226=1,K226="Yes",N226="POL"),IF(COUNTIFS($A$2:A226,A226,$D$2:D226,D226,$E$2:E226,E226,$G$2:G226,1)=1,1,0),0)</f>
        <v>1</v>
      </c>
      <c r="P226" s="12" t="n">
        <f aca="false">IF(AND(ISNUMBER(G226),K226="Yes",N226="POL"),IF(AND(G226&gt;=1,G226&lt;=3,COUNTIFS($A$2:A226,A226,$D$2:D226,D226,$E$2:E226,E226,$G$2:G226,G226)=1),1,0),0)</f>
        <v>1</v>
      </c>
    </row>
    <row r="227" customFormat="false" ht="15" hidden="false" customHeight="false" outlineLevel="0" collapsed="false">
      <c r="A227" s="12" t="s">
        <v>270</v>
      </c>
      <c r="B227" s="13" t="n">
        <v>46237</v>
      </c>
      <c r="C227" s="12" t="str">
        <f aca="false">IF(A227="","",IFERROR(INDEX(Events!$D$2:$D$67,MATCH(A227,Events!$A$2:$A$67,0)),"Unknown event ID"))</f>
        <v>Polish Elite Track Championships</v>
      </c>
      <c r="D227" s="12" t="s">
        <v>370</v>
      </c>
      <c r="E227" s="12" t="s">
        <v>59</v>
      </c>
      <c r="F227" s="12" t="s">
        <v>78</v>
      </c>
      <c r="G227" s="12" t="n">
        <v>3</v>
      </c>
      <c r="H227" s="12" t="s">
        <v>366</v>
      </c>
      <c r="I227" s="12" t="s">
        <v>458</v>
      </c>
      <c r="J227" s="12" t="s">
        <v>383</v>
      </c>
      <c r="K227" s="12" t="str">
        <f aca="false">IF(A227="","",IFERROR(IF(INDEX(Events!$J$2:$J$67,MATCH(A227,Events!$A$2:$A$67,0))="Yes",IF(ISNUMBER(SEARCH("Criterium final",D227)),"No","Yes"),"No"),""))</f>
        <v>Yes</v>
      </c>
      <c r="L227" s="12"/>
      <c r="M227" s="12" t="n">
        <f aca="false">IF(OR(A227="",F227=""),0,IF(COUNTIFS($A$2:A227,A227,$F$2:F227,F227)=1,1,0))</f>
        <v>0</v>
      </c>
      <c r="N227" s="12" t="str">
        <f aca="false">IF(A227="","",IFERROR(INDEX(Events!$F$2:$F$67,MATCH(A227,Events!$A$2:$A$67,0)),""))</f>
        <v>POL</v>
      </c>
      <c r="O227" s="12" t="n">
        <f aca="false">IF(AND(G227=1,K227="Yes",N227="POL"),IF(COUNTIFS($A$2:A227,A227,$D$2:D227,D227,$E$2:E227,E227,$G$2:G227,1)=1,1,0),0)</f>
        <v>0</v>
      </c>
      <c r="P227" s="12" t="n">
        <f aca="false">IF(AND(ISNUMBER(G227),K227="Yes",N227="POL"),IF(AND(G227&gt;=1,G227&lt;=3,COUNTIFS($A$2:A227,A227,$D$2:D227,D227,$E$2:E227,E227,$G$2:G227,G227)=1),1,0),0)</f>
        <v>0</v>
      </c>
    </row>
    <row r="228" customFormat="false" ht="15" hidden="false" customHeight="false" outlineLevel="0" collapsed="false">
      <c r="A228" s="12" t="s">
        <v>339</v>
      </c>
      <c r="B228" s="13" t="n">
        <v>46254</v>
      </c>
      <c r="C228" s="12" t="str">
        <f aca="false">IF(A228="","",IFERROR(INDEX(Events!$D$2:$D$67,MATCH(A228,Events!$A$2:$A$67,0)),"Unknown event ID"))</f>
        <v>GP Lucien Van Impe</v>
      </c>
      <c r="D228" s="12" t="s">
        <v>365</v>
      </c>
      <c r="E228" s="12" t="s">
        <v>59</v>
      </c>
      <c r="F228" s="12" t="s">
        <v>78</v>
      </c>
      <c r="G228" s="12" t="n">
        <v>44</v>
      </c>
      <c r="H228" s="12" t="s">
        <v>366</v>
      </c>
      <c r="I228" s="12"/>
      <c r="J228" s="12" t="s">
        <v>80</v>
      </c>
      <c r="K228" s="12" t="str">
        <f aca="false">IF(A228="","",IFERROR(IF(INDEX(Events!$J$2:$J$67,MATCH(A228,Events!$A$2:$A$67,0))="Yes",IF(ISNUMBER(SEARCH("Criterium final",D228)),"No","Yes"),"No"),""))</f>
        <v>No</v>
      </c>
      <c r="L228" s="12"/>
      <c r="M228" s="12" t="n">
        <f aca="false">IF(OR(A228="",F228=""),0,IF(COUNTIFS($A$2:A228,A228,$F$2:F228,F228)=1,1,0))</f>
        <v>1</v>
      </c>
      <c r="N228" s="12" t="str">
        <f aca="false">IF(A228="","",IFERROR(INDEX(Events!$F$2:$F$67,MATCH(A228,Events!$A$2:$A$67,0)),""))</f>
        <v>BEL</v>
      </c>
      <c r="O228" s="12" t="n">
        <f aca="false">IF(AND(G228=1,K228="Yes",N228="POL"),IF(COUNTIFS($A$2:A228,A228,$D$2:D228,D228,$E$2:E228,E228,$G$2:G228,1)=1,1,0),0)</f>
        <v>0</v>
      </c>
      <c r="P228" s="12" t="n">
        <f aca="false">IF(AND(ISNUMBER(G228),K228="Yes",N228="POL"),IF(AND(G228&gt;=1,G228&lt;=3,COUNTIFS($A$2:A228,A228,$D$2:D228,D228,$E$2:E228,E228,$G$2:G228,G228)=1),1,0),0)</f>
        <v>0</v>
      </c>
    </row>
    <row r="229" customFormat="false" ht="15" hidden="false" customHeight="false" outlineLevel="0" collapsed="false">
      <c r="A229" s="12" t="s">
        <v>341</v>
      </c>
      <c r="B229" s="13" t="n">
        <v>46255</v>
      </c>
      <c r="C229" s="12" t="str">
        <f aca="false">IF(A229="","",IFERROR(INDEX(Events!$D$2:$D$67,MATCH(A229,Events!$A$2:$A$67,0)),"Unknown event ID"))</f>
        <v>Konvert Kortrijk Koerse</v>
      </c>
      <c r="D229" s="12" t="s">
        <v>365</v>
      </c>
      <c r="E229" s="12" t="s">
        <v>59</v>
      </c>
      <c r="F229" s="12" t="s">
        <v>78</v>
      </c>
      <c r="G229" s="12" t="n">
        <v>58</v>
      </c>
      <c r="H229" s="12" t="s">
        <v>366</v>
      </c>
      <c r="I229" s="12"/>
      <c r="J229" s="12" t="s">
        <v>80</v>
      </c>
      <c r="K229" s="12" t="str">
        <f aca="false">IF(A229="","",IFERROR(IF(INDEX(Events!$J$2:$J$67,MATCH(A229,Events!$A$2:$A$67,0))="Yes",IF(ISNUMBER(SEARCH("Criterium final",D229)),"No","Yes"),"No"),""))</f>
        <v>No</v>
      </c>
      <c r="L229" s="12"/>
      <c r="M229" s="12" t="n">
        <f aca="false">IF(OR(A229="",F229=""),0,IF(COUNTIFS($A$2:A229,A229,$F$2:F229,F229)=1,1,0))</f>
        <v>1</v>
      </c>
      <c r="N229" s="12" t="str">
        <f aca="false">IF(A229="","",IFERROR(INDEX(Events!$F$2:$F$67,MATCH(A229,Events!$A$2:$A$67,0)),""))</f>
        <v>BEL</v>
      </c>
      <c r="O229" s="12" t="n">
        <f aca="false">IF(AND(G229=1,K229="Yes",N229="POL"),IF(COUNTIFS($A$2:A229,A229,$D$2:D229,D229,$E$2:E229,E229,$G$2:G229,1)=1,1,0),0)</f>
        <v>0</v>
      </c>
      <c r="P229" s="12" t="n">
        <f aca="false">IF(AND(ISNUMBER(G229),K229="Yes",N229="POL"),IF(AND(G229&gt;=1,G229&lt;=3,COUNTIFS($A$2:A229,A229,$D$2:D229,D229,$E$2:E229,E229,$G$2:G229,G229)=1),1,0),0)</f>
        <v>0</v>
      </c>
    </row>
    <row r="230" customFormat="false" ht="15" hidden="false" customHeight="false" outlineLevel="0" collapsed="false">
      <c r="A230" s="12" t="s">
        <v>289</v>
      </c>
      <c r="B230" s="13" t="n">
        <v>46277</v>
      </c>
      <c r="C230" s="12" t="str">
        <f aca="false">IF(A230="","",IFERROR(INDEX(Events!$D$2:$D$67,MATCH(A230,Events!$A$2:$A$67,0)),"Unknown event ID"))</f>
        <v>Polish Pairs &amp; Team Time Trial Championships</v>
      </c>
      <c r="D230" s="12" t="s">
        <v>405</v>
      </c>
      <c r="E230" s="12" t="s">
        <v>66</v>
      </c>
      <c r="F230" s="12" t="s">
        <v>78</v>
      </c>
      <c r="G230" s="12" t="n">
        <v>3</v>
      </c>
      <c r="H230" s="12" t="s">
        <v>366</v>
      </c>
      <c r="I230" s="12" t="s">
        <v>459</v>
      </c>
      <c r="J230" s="12" t="s">
        <v>406</v>
      </c>
      <c r="K230" s="12" t="str">
        <f aca="false">IF(A230="","",IFERROR(IF(INDEX(Events!$J$2:$J$67,MATCH(A230,Events!$A$2:$A$67,0))="Yes",IF(ISNUMBER(SEARCH("Criterium final",D230)),"No","Yes"),"No"),""))</f>
        <v>Yes</v>
      </c>
      <c r="L230" s="12"/>
      <c r="M230" s="12" t="n">
        <f aca="false">IF(OR(A230="",F230=""),0,IF(COUNTIFS($A$2:A230,A230,$F$2:F230,F230)=1,1,0))</f>
        <v>1</v>
      </c>
      <c r="N230" s="12" t="str">
        <f aca="false">IF(A230="","",IFERROR(INDEX(Events!$F$2:$F$67,MATCH(A230,Events!$A$2:$A$67,0)),""))</f>
        <v>POL</v>
      </c>
      <c r="O230" s="12" t="n">
        <f aca="false">IF(AND(G230=1,K230="Yes",N230="POL"),IF(COUNTIFS($A$2:A230,A230,$D$2:D230,D230,$E$2:E230,E230,$G$2:G230,1)=1,1,0),0)</f>
        <v>0</v>
      </c>
      <c r="P230" s="12" t="n">
        <f aca="false">IF(AND(ISNUMBER(G230),K230="Yes",N230="POL"),IF(AND(G230&gt;=1,G230&lt;=3,COUNTIFS($A$2:A230,A230,$D$2:D230,D230,$E$2:E230,E230,$G$2:G230,G230)=1),1,0),0)</f>
        <v>0</v>
      </c>
    </row>
    <row r="231" customFormat="false" ht="15" hidden="false" customHeight="false" outlineLevel="0" collapsed="false">
      <c r="A231" s="12" t="s">
        <v>289</v>
      </c>
      <c r="B231" s="13" t="n">
        <v>46278</v>
      </c>
      <c r="C231" s="12" t="str">
        <f aca="false">IF(A231="","",IFERROR(INDEX(Events!$D$2:$D$67,MATCH(A231,Events!$A$2:$A$67,0)),"Unknown event ID"))</f>
        <v>Polish Pairs &amp; Team Time Trial Championships</v>
      </c>
      <c r="D231" s="12" t="s">
        <v>407</v>
      </c>
      <c r="E231" s="12" t="s">
        <v>59</v>
      </c>
      <c r="F231" s="12" t="s">
        <v>78</v>
      </c>
      <c r="G231" s="12" t="n">
        <v>3</v>
      </c>
      <c r="H231" s="12" t="s">
        <v>366</v>
      </c>
      <c r="I231" s="12" t="s">
        <v>460</v>
      </c>
      <c r="J231" s="12" t="s">
        <v>409</v>
      </c>
      <c r="K231" s="12" t="str">
        <f aca="false">IF(A231="","",IFERROR(IF(INDEX(Events!$J$2:$J$67,MATCH(A231,Events!$A$2:$A$67,0))="Yes",IF(ISNUMBER(SEARCH("Criterium final",D231)),"No","Yes"),"No"),""))</f>
        <v>Yes</v>
      </c>
      <c r="L231" s="12"/>
      <c r="M231" s="12" t="n">
        <f aca="false">IF(OR(A231="",F231=""),0,IF(COUNTIFS($A$2:A231,A231,$F$2:F231,F231)=1,1,0))</f>
        <v>0</v>
      </c>
      <c r="N231" s="12" t="str">
        <f aca="false">IF(A231="","",IFERROR(INDEX(Events!$F$2:$F$67,MATCH(A231,Events!$A$2:$A$67,0)),""))</f>
        <v>POL</v>
      </c>
      <c r="O231" s="12" t="n">
        <f aca="false">IF(AND(G231=1,K231="Yes",N231="POL"),IF(COUNTIFS($A$2:A231,A231,$D$2:D231,D231,$E$2:E231,E231,$G$2:G231,1)=1,1,0),0)</f>
        <v>0</v>
      </c>
      <c r="P231" s="12" t="n">
        <f aca="false">IF(AND(ISNUMBER(G231),K231="Yes",N231="POL"),IF(AND(G231&gt;=1,G231&lt;=3,COUNTIFS($A$2:A231,A231,$D$2:D231,D231,$E$2:E231,E231,$G$2:G231,G231)=1),1,0),0)</f>
        <v>0</v>
      </c>
    </row>
    <row r="232" customFormat="false" ht="15" hidden="false" customHeight="false" outlineLevel="0" collapsed="false">
      <c r="A232" s="12" t="s">
        <v>289</v>
      </c>
      <c r="B232" s="13" t="n">
        <v>46278</v>
      </c>
      <c r="C232" s="12" t="str">
        <f aca="false">IF(A232="","",IFERROR(INDEX(Events!$D$2:$D$67,MATCH(A232,Events!$A$2:$A$67,0)),"Unknown event ID"))</f>
        <v>Polish Pairs &amp; Team Time Trial Championships</v>
      </c>
      <c r="D232" s="12" t="s">
        <v>407</v>
      </c>
      <c r="E232" s="12" t="s">
        <v>66</v>
      </c>
      <c r="F232" s="12" t="s">
        <v>78</v>
      </c>
      <c r="G232" s="12" t="n">
        <v>2</v>
      </c>
      <c r="H232" s="12" t="s">
        <v>366</v>
      </c>
      <c r="I232" s="12" t="s">
        <v>460</v>
      </c>
      <c r="J232" s="12" t="s">
        <v>409</v>
      </c>
      <c r="K232" s="12" t="str">
        <f aca="false">IF(A232="","",IFERROR(IF(INDEX(Events!$J$2:$J$67,MATCH(A232,Events!$A$2:$A$67,0))="Yes",IF(ISNUMBER(SEARCH("Criterium final",D232)),"No","Yes"),"No"),""))</f>
        <v>Yes</v>
      </c>
      <c r="L232" s="12"/>
      <c r="M232" s="12" t="n">
        <f aca="false">IF(OR(A232="",F232=""),0,IF(COUNTIFS($A$2:A232,A232,$F$2:F232,F232)=1,1,0))</f>
        <v>0</v>
      </c>
      <c r="N232" s="12" t="str">
        <f aca="false">IF(A232="","",IFERROR(INDEX(Events!$F$2:$F$67,MATCH(A232,Events!$A$2:$A$67,0)),""))</f>
        <v>POL</v>
      </c>
      <c r="O232" s="12" t="n">
        <f aca="false">IF(AND(G232=1,K232="Yes",N232="POL"),IF(COUNTIFS($A$2:A232,A232,$D$2:D232,D232,$E$2:E232,E232,$G$2:G232,1)=1,1,0),0)</f>
        <v>0</v>
      </c>
      <c r="P232" s="12" t="n">
        <f aca="false">IF(AND(ISNUMBER(G232),K232="Yes",N232="POL"),IF(AND(G232&gt;=1,G232&lt;=3,COUNTIFS($A$2:A232,A232,$D$2:D232,D232,$E$2:E232,E232,$G$2:G232,G232)=1),1,0),0)</f>
        <v>0</v>
      </c>
    </row>
    <row r="233" customFormat="false" ht="15" hidden="false" customHeight="false" outlineLevel="0" collapsed="false">
      <c r="A233" s="12" t="s">
        <v>346</v>
      </c>
      <c r="B233" s="13" t="n">
        <v>46289</v>
      </c>
      <c r="C233" s="12" t="str">
        <f aca="false">IF(A233="","",IFERROR(INDEX(Events!$D$2:$D$67,MATCH(A233,Events!$A$2:$A$67,0)),"Unknown event ID"))</f>
        <v>UCI Road World Championships</v>
      </c>
      <c r="D233" s="12" t="s">
        <v>367</v>
      </c>
      <c r="E233" s="12" t="s">
        <v>66</v>
      </c>
      <c r="F233" s="12" t="s">
        <v>78</v>
      </c>
      <c r="G233" s="12"/>
      <c r="H233" s="12" t="s">
        <v>33</v>
      </c>
      <c r="I233" s="12"/>
      <c r="J233" s="12" t="s">
        <v>80</v>
      </c>
      <c r="K233" s="12" t="str">
        <f aca="false">IF(A233="","",IFERROR(IF(INDEX(Events!$J$2:$J$67,MATCH(A233,Events!$A$2:$A$67,0))="Yes",IF(ISNUMBER(SEARCH("Criterium final",D233)),"No","Yes"),"No"),""))</f>
        <v>No</v>
      </c>
      <c r="L233" s="12"/>
      <c r="M233" s="12" t="n">
        <f aca="false">IF(OR(A233="",F233=""),0,IF(COUNTIFS($A$2:A233,A233,$F$2:F233,F233)=1,1,0))</f>
        <v>1</v>
      </c>
      <c r="N233" s="12" t="str">
        <f aca="false">IF(A233="","",IFERROR(INDEX(Events!$F$2:$F$67,MATCH(A233,Events!$A$2:$A$67,0)),""))</f>
        <v>CAN</v>
      </c>
      <c r="O233" s="12" t="n">
        <f aca="false">IF(AND(G233=1,K233="Yes",N233="POL"),IF(COUNTIFS($A$2:A233,A233,$D$2:D233,D233,$E$2:E233,E233,$G$2:G233,1)=1,1,0),0)</f>
        <v>0</v>
      </c>
      <c r="P233" s="12" t="n">
        <f aca="false">IF(AND(ISNUMBER(G233),K233="Yes",N233="POL"),IF(AND(G233&gt;=1,G233&lt;=3,COUNTIFS($A$2:A233,A233,$D$2:D233,D233,$E$2:E233,E233,$G$2:G233,G233)=1),1,0),0)</f>
        <v>0</v>
      </c>
    </row>
    <row r="234" customFormat="false" ht="15" hidden="false" customHeight="false" outlineLevel="0" collapsed="false">
      <c r="A234" s="12" t="s">
        <v>166</v>
      </c>
      <c r="B234" s="13" t="n">
        <v>46085</v>
      </c>
      <c r="C234" s="12" t="str">
        <f aca="false">IF(A234="","",IFERROR(INDEX(Events!$D$2:$D$67,MATCH(A234,Events!$A$2:$A$67,0)),"Unknown event ID"))</f>
        <v>UMAG Classic Ladies</v>
      </c>
      <c r="D234" s="12" t="s">
        <v>365</v>
      </c>
      <c r="E234" s="12" t="s">
        <v>59</v>
      </c>
      <c r="F234" s="12" t="s">
        <v>81</v>
      </c>
      <c r="G234" s="12" t="n">
        <v>48</v>
      </c>
      <c r="H234" s="12" t="s">
        <v>366</v>
      </c>
      <c r="I234" s="12"/>
      <c r="J234" s="12" t="s">
        <v>84</v>
      </c>
      <c r="K234" s="12" t="str">
        <f aca="false">IF(A234="","",IFERROR(IF(INDEX(Events!$J$2:$J$67,MATCH(A234,Events!$A$2:$A$67,0))="Yes",IF(ISNUMBER(SEARCH("Criterium final",D234)),"No","Yes"),"No"),""))</f>
        <v>No</v>
      </c>
      <c r="L234" s="12"/>
      <c r="M234" s="12" t="n">
        <f aca="false">IF(OR(A234="",F234=""),0,IF(COUNTIFS($A$2:A234,A234,$F$2:F234,F234)=1,1,0))</f>
        <v>1</v>
      </c>
      <c r="N234" s="12" t="str">
        <f aca="false">IF(A234="","",IFERROR(INDEX(Events!$F$2:$F$67,MATCH(A234,Events!$A$2:$A$67,0)),""))</f>
        <v>CRO</v>
      </c>
      <c r="O234" s="12" t="n">
        <f aca="false">IF(AND(G234=1,K234="Yes",N234="POL"),IF(COUNTIFS($A$2:A234,A234,$D$2:D234,D234,$E$2:E234,E234,$G$2:G234,1)=1,1,0),0)</f>
        <v>0</v>
      </c>
      <c r="P234" s="12" t="n">
        <f aca="false">IF(AND(ISNUMBER(G234),K234="Yes",N234="POL"),IF(AND(G234&gt;=1,G234&lt;=3,COUNTIFS($A$2:A234,A234,$D$2:D234,D234,$E$2:E234,E234,$G$2:G234,G234)=1),1,0),0)</f>
        <v>0</v>
      </c>
    </row>
    <row r="235" customFormat="false" ht="15" hidden="false" customHeight="false" outlineLevel="0" collapsed="false">
      <c r="A235" s="12" t="s">
        <v>171</v>
      </c>
      <c r="B235" s="13" t="n">
        <v>46089</v>
      </c>
      <c r="C235" s="12" t="str">
        <f aca="false">IF(A235="","",IFERROR(INDEX(Events!$D$2:$D$67,MATCH(A235,Events!$A$2:$A$67,0)),"Unknown event ID"))</f>
        <v>POREČ Classic Ladies</v>
      </c>
      <c r="D235" s="12" t="s">
        <v>365</v>
      </c>
      <c r="E235" s="12" t="s">
        <v>59</v>
      </c>
      <c r="F235" s="12" t="s">
        <v>81</v>
      </c>
      <c r="G235" s="12" t="n">
        <v>10</v>
      </c>
      <c r="H235" s="12" t="s">
        <v>366</v>
      </c>
      <c r="I235" s="12"/>
      <c r="J235" s="12" t="s">
        <v>84</v>
      </c>
      <c r="K235" s="12" t="str">
        <f aca="false">IF(A235="","",IFERROR(IF(INDEX(Events!$J$2:$J$67,MATCH(A235,Events!$A$2:$A$67,0))="Yes",IF(ISNUMBER(SEARCH("Criterium final",D235)),"No","Yes"),"No"),""))</f>
        <v>No</v>
      </c>
      <c r="L235" s="12"/>
      <c r="M235" s="12" t="n">
        <f aca="false">IF(OR(A235="",F235=""),0,IF(COUNTIFS($A$2:A235,A235,$F$2:F235,F235)=1,1,0))</f>
        <v>1</v>
      </c>
      <c r="N235" s="12" t="str">
        <f aca="false">IF(A235="","",IFERROR(INDEX(Events!$F$2:$F$67,MATCH(A235,Events!$A$2:$A$67,0)),""))</f>
        <v>CRO</v>
      </c>
      <c r="O235" s="12" t="n">
        <f aca="false">IF(AND(G235=1,K235="Yes",N235="POL"),IF(COUNTIFS($A$2:A235,A235,$D$2:D235,D235,$E$2:E235,E235,$G$2:G235,1)=1,1,0),0)</f>
        <v>0</v>
      </c>
      <c r="P235" s="12" t="n">
        <f aca="false">IF(AND(ISNUMBER(G235),K235="Yes",N235="POL"),IF(AND(G235&gt;=1,G235&lt;=3,COUNTIFS($A$2:A235,A235,$D$2:D235,D235,$E$2:E235,E235,$G$2:G235,G235)=1),1,0),0)</f>
        <v>0</v>
      </c>
    </row>
    <row r="236" customFormat="false" ht="15" hidden="false" customHeight="false" outlineLevel="0" collapsed="false">
      <c r="A236" s="12" t="s">
        <v>181</v>
      </c>
      <c r="B236" s="13" t="n">
        <v>46116</v>
      </c>
      <c r="C236" s="12" t="str">
        <f aca="false">IF(A236="","",IFERROR(INDEX(Events!$D$2:$D$67,MATCH(A236,Events!$A$2:$A$67,0)),"Unknown event ID"))</f>
        <v>NXT Classic</v>
      </c>
      <c r="D236" s="12" t="s">
        <v>365</v>
      </c>
      <c r="E236" s="12" t="s">
        <v>59</v>
      </c>
      <c r="F236" s="12" t="s">
        <v>81</v>
      </c>
      <c r="G236" s="12" t="n">
        <v>24</v>
      </c>
      <c r="H236" s="12" t="s">
        <v>366</v>
      </c>
      <c r="I236" s="12"/>
      <c r="J236" s="12" t="s">
        <v>84</v>
      </c>
      <c r="K236" s="12" t="str">
        <f aca="false">IF(A236="","",IFERROR(IF(INDEX(Events!$J$2:$J$67,MATCH(A236,Events!$A$2:$A$67,0))="Yes",IF(ISNUMBER(SEARCH("Criterium final",D236)),"No","Yes"),"No"),""))</f>
        <v>No</v>
      </c>
      <c r="L236" s="12"/>
      <c r="M236" s="12" t="n">
        <f aca="false">IF(OR(A236="",F236=""),0,IF(COUNTIFS($A$2:A236,A236,$F$2:F236,F236)=1,1,0))</f>
        <v>1</v>
      </c>
      <c r="N236" s="12" t="str">
        <f aca="false">IF(A236="","",IFERROR(INDEX(Events!$F$2:$F$67,MATCH(A236,Events!$A$2:$A$67,0)),""))</f>
        <v>NED</v>
      </c>
      <c r="O236" s="12" t="n">
        <f aca="false">IF(AND(G236=1,K236="Yes",N236="POL"),IF(COUNTIFS($A$2:A236,A236,$D$2:D236,D236,$E$2:E236,E236,$G$2:G236,1)=1,1,0),0)</f>
        <v>0</v>
      </c>
      <c r="P236" s="12" t="n">
        <f aca="false">IF(AND(ISNUMBER(G236),K236="Yes",N236="POL"),IF(AND(G236&gt;=1,G236&lt;=3,COUNTIFS($A$2:A236,A236,$D$2:D236,D236,$E$2:E236,E236,$G$2:G236,G236)=1),1,0),0)</f>
        <v>0</v>
      </c>
    </row>
    <row r="237" customFormat="false" ht="15" hidden="false" customHeight="false" outlineLevel="0" collapsed="false">
      <c r="A237" s="12" t="s">
        <v>191</v>
      </c>
      <c r="B237" s="13" t="n">
        <v>46124</v>
      </c>
      <c r="C237" s="12" t="str">
        <f aca="false">IF(A237="","",IFERROR(INDEX(Events!$D$2:$D$67,MATCH(A237,Events!$A$2:$A$67,0)),"Unknown event ID"))</f>
        <v>Ślężański Mnich</v>
      </c>
      <c r="D237" s="12" t="s">
        <v>367</v>
      </c>
      <c r="E237" s="12" t="s">
        <v>59</v>
      </c>
      <c r="F237" s="12" t="s">
        <v>81</v>
      </c>
      <c r="G237" s="12" t="n">
        <v>1</v>
      </c>
      <c r="H237" s="12" t="s">
        <v>366</v>
      </c>
      <c r="I237" s="12"/>
      <c r="J237" s="12" t="s">
        <v>368</v>
      </c>
      <c r="K237" s="12" t="str">
        <f aca="false">IF(A237="","",IFERROR(IF(INDEX(Events!$J$2:$J$67,MATCH(A237,Events!$A$2:$A$67,0))="Yes",IF(ISNUMBER(SEARCH("Criterium final",D237)),"No","Yes"),"No"),""))</f>
        <v>No</v>
      </c>
      <c r="L237" s="12"/>
      <c r="M237" s="12" t="n">
        <f aca="false">IF(OR(A237="",F237=""),0,IF(COUNTIFS($A$2:A237,A237,$F$2:F237,F237)=1,1,0))</f>
        <v>1</v>
      </c>
      <c r="N237" s="12" t="str">
        <f aca="false">IF(A237="","",IFERROR(INDEX(Events!$F$2:$F$67,MATCH(A237,Events!$A$2:$A$67,0)),""))</f>
        <v>POL</v>
      </c>
      <c r="O237" s="12" t="n">
        <f aca="false">IF(AND(G237=1,K237="Yes",N237="POL"),IF(COUNTIFS($A$2:A237,A237,$D$2:D237,D237,$E$2:E237,E237,$G$2:G237,1)=1,1,0),0)</f>
        <v>0</v>
      </c>
      <c r="P237" s="12" t="n">
        <f aca="false">IF(AND(ISNUMBER(G237),K237="Yes",N237="POL"),IF(AND(G237&gt;=1,G237&lt;=3,COUNTIFS($A$2:A237,A237,$D$2:D237,D237,$E$2:E237,E237,$G$2:G237,G237)=1),1,0),0)</f>
        <v>0</v>
      </c>
    </row>
    <row r="238" customFormat="false" ht="15" hidden="false" customHeight="false" outlineLevel="0" collapsed="false">
      <c r="A238" s="12" t="s">
        <v>191</v>
      </c>
      <c r="B238" s="13" t="n">
        <v>46124</v>
      </c>
      <c r="C238" s="12" t="str">
        <f aca="false">IF(A238="","",IFERROR(INDEX(Events!$D$2:$D$67,MATCH(A238,Events!$A$2:$A$67,0)),"Unknown event ID"))</f>
        <v>Ślężański Mnich</v>
      </c>
      <c r="D238" s="12" t="s">
        <v>367</v>
      </c>
      <c r="E238" s="12" t="s">
        <v>66</v>
      </c>
      <c r="F238" s="12" t="s">
        <v>81</v>
      </c>
      <c r="G238" s="12" t="n">
        <v>1</v>
      </c>
      <c r="H238" s="12" t="s">
        <v>366</v>
      </c>
      <c r="I238" s="12"/>
      <c r="J238" s="12" t="s">
        <v>368</v>
      </c>
      <c r="K238" s="12" t="str">
        <f aca="false">IF(A238="","",IFERROR(IF(INDEX(Events!$J$2:$J$67,MATCH(A238,Events!$A$2:$A$67,0))="Yes",IF(ISNUMBER(SEARCH("Criterium final",D238)),"No","Yes"),"No"),""))</f>
        <v>No</v>
      </c>
      <c r="L238" s="12"/>
      <c r="M238" s="12" t="n">
        <f aca="false">IF(OR(A238="",F238=""),0,IF(COUNTIFS($A$2:A238,A238,$F$2:F238,F238)=1,1,0))</f>
        <v>0</v>
      </c>
      <c r="N238" s="12" t="str">
        <f aca="false">IF(A238="","",IFERROR(INDEX(Events!$F$2:$F$67,MATCH(A238,Events!$A$2:$A$67,0)),""))</f>
        <v>POL</v>
      </c>
      <c r="O238" s="12" t="n">
        <f aca="false">IF(AND(G238=1,K238="Yes",N238="POL"),IF(COUNTIFS($A$2:A238,A238,$D$2:D238,D238,$E$2:E238,E238,$G$2:G238,1)=1,1,0),0)</f>
        <v>0</v>
      </c>
      <c r="P238" s="12" t="n">
        <f aca="false">IF(AND(ISNUMBER(G238),K238="Yes",N238="POL"),IF(AND(G238&gt;=1,G238&lt;=3,COUNTIFS($A$2:A238,A238,$D$2:D238,D238,$E$2:E238,E238,$G$2:G238,G238)=1),1,0),0)</f>
        <v>0</v>
      </c>
    </row>
    <row r="239" customFormat="false" ht="15" hidden="false" customHeight="false" outlineLevel="0" collapsed="false">
      <c r="A239" s="12" t="s">
        <v>193</v>
      </c>
      <c r="B239" s="13" t="n">
        <v>46129</v>
      </c>
      <c r="C239" s="12" t="str">
        <f aca="false">IF(A239="","",IFERROR(INDEX(Events!$D$2:$D$67,MATCH(A239,Events!$A$2:$A$67,0)),"Unknown event ID"))</f>
        <v>De Brabantse Pijl</v>
      </c>
      <c r="D239" s="12" t="s">
        <v>365</v>
      </c>
      <c r="E239" s="12" t="s">
        <v>59</v>
      </c>
      <c r="F239" s="12" t="s">
        <v>81</v>
      </c>
      <c r="G239" s="12" t="n">
        <v>15</v>
      </c>
      <c r="H239" s="12" t="s">
        <v>366</v>
      </c>
      <c r="I239" s="12"/>
      <c r="J239" s="12" t="s">
        <v>84</v>
      </c>
      <c r="K239" s="12" t="str">
        <f aca="false">IF(A239="","",IFERROR(IF(INDEX(Events!$J$2:$J$67,MATCH(A239,Events!$A$2:$A$67,0))="Yes",IF(ISNUMBER(SEARCH("Criterium final",D239)),"No","Yes"),"No"),""))</f>
        <v>No</v>
      </c>
      <c r="L239" s="12"/>
      <c r="M239" s="12" t="n">
        <f aca="false">IF(OR(A239="",F239=""),0,IF(COUNTIFS($A$2:A239,A239,$F$2:F239,F239)=1,1,0))</f>
        <v>1</v>
      </c>
      <c r="N239" s="12" t="str">
        <f aca="false">IF(A239="","",IFERROR(INDEX(Events!$F$2:$F$67,MATCH(A239,Events!$A$2:$A$67,0)),""))</f>
        <v>BEL</v>
      </c>
      <c r="O239" s="12" t="n">
        <f aca="false">IF(AND(G239=1,K239="Yes",N239="POL"),IF(COUNTIFS($A$2:A239,A239,$D$2:D239,D239,$E$2:E239,E239,$G$2:G239,1)=1,1,0),0)</f>
        <v>0</v>
      </c>
      <c r="P239" s="12" t="n">
        <f aca="false">IF(AND(ISNUMBER(G239),K239="Yes",N239="POL"),IF(AND(G239&gt;=1,G239&lt;=3,COUNTIFS($A$2:A239,A239,$D$2:D239,D239,$E$2:E239,E239,$G$2:G239,G239)=1),1,0),0)</f>
        <v>0</v>
      </c>
    </row>
    <row r="240" customFormat="false" ht="15" hidden="false" customHeight="false" outlineLevel="0" collapsed="false">
      <c r="A240" s="12" t="s">
        <v>207</v>
      </c>
      <c r="B240" s="13" t="n">
        <v>46142</v>
      </c>
      <c r="C240" s="12" t="str">
        <f aca="false">IF(A240="","",IFERROR(INDEX(Events!$D$2:$D$67,MATCH(A240,Events!$A$2:$A$67,0)),"Unknown event ID"))</f>
        <v>Gracia Orlová</v>
      </c>
      <c r="D240" s="12" t="s">
        <v>377</v>
      </c>
      <c r="E240" s="12" t="s">
        <v>59</v>
      </c>
      <c r="F240" s="12" t="s">
        <v>81</v>
      </c>
      <c r="G240" s="12" t="n">
        <v>3</v>
      </c>
      <c r="H240" s="12" t="s">
        <v>366</v>
      </c>
      <c r="I240" s="12"/>
      <c r="J240" s="12" t="s">
        <v>84</v>
      </c>
      <c r="K240" s="12" t="str">
        <f aca="false">IF(A240="","",IFERROR(IF(INDEX(Events!$J$2:$J$67,MATCH(A240,Events!$A$2:$A$67,0))="Yes",IF(ISNUMBER(SEARCH("Criterium final",D240)),"No","Yes"),"No"),""))</f>
        <v>No</v>
      </c>
      <c r="L240" s="12"/>
      <c r="M240" s="12" t="n">
        <f aca="false">IF(OR(A240="",F240=""),0,IF(COUNTIFS($A$2:A240,A240,$F$2:F240,F240)=1,1,0))</f>
        <v>1</v>
      </c>
      <c r="N240" s="12" t="str">
        <f aca="false">IF(A240="","",IFERROR(INDEX(Events!$F$2:$F$67,MATCH(A240,Events!$A$2:$A$67,0)),""))</f>
        <v>CZE</v>
      </c>
      <c r="O240" s="12" t="n">
        <f aca="false">IF(AND(G240=1,K240="Yes",N240="POL"),IF(COUNTIFS($A$2:A240,A240,$D$2:D240,D240,$E$2:E240,E240,$G$2:G240,1)=1,1,0),0)</f>
        <v>0</v>
      </c>
      <c r="P240" s="12" t="n">
        <f aca="false">IF(AND(ISNUMBER(G240),K240="Yes",N240="POL"),IF(AND(G240&gt;=1,G240&lt;=3,COUNTIFS($A$2:A240,A240,$D$2:D240,D240,$E$2:E240,E240,$G$2:G240,G240)=1),1,0),0)</f>
        <v>0</v>
      </c>
    </row>
    <row r="241" customFormat="false" ht="15" hidden="false" customHeight="false" outlineLevel="0" collapsed="false">
      <c r="A241" s="12" t="s">
        <v>207</v>
      </c>
      <c r="B241" s="13" t="n">
        <v>46143</v>
      </c>
      <c r="C241" s="12" t="str">
        <f aca="false">IF(A241="","",IFERROR(INDEX(Events!$D$2:$D$67,MATCH(A241,Events!$A$2:$A$67,0)),"Unknown event ID"))</f>
        <v>Gracia Orlová</v>
      </c>
      <c r="D241" s="12" t="s">
        <v>373</v>
      </c>
      <c r="E241" s="12" t="s">
        <v>59</v>
      </c>
      <c r="F241" s="12" t="s">
        <v>81</v>
      </c>
      <c r="G241" s="12" t="n">
        <v>5</v>
      </c>
      <c r="H241" s="12" t="s">
        <v>366</v>
      </c>
      <c r="I241" s="12"/>
      <c r="J241" s="12" t="s">
        <v>84</v>
      </c>
      <c r="K241" s="12" t="str">
        <f aca="false">IF(A241="","",IFERROR(IF(INDEX(Events!$J$2:$J$67,MATCH(A241,Events!$A$2:$A$67,0))="Yes",IF(ISNUMBER(SEARCH("Criterium final",D241)),"No","Yes"),"No"),""))</f>
        <v>No</v>
      </c>
      <c r="L241" s="12"/>
      <c r="M241" s="12" t="n">
        <f aca="false">IF(OR(A241="",F241=""),0,IF(COUNTIFS($A$2:A241,A241,$F$2:F241,F241)=1,1,0))</f>
        <v>0</v>
      </c>
      <c r="N241" s="12" t="str">
        <f aca="false">IF(A241="","",IFERROR(INDEX(Events!$F$2:$F$67,MATCH(A241,Events!$A$2:$A$67,0)),""))</f>
        <v>CZE</v>
      </c>
      <c r="O241" s="12" t="n">
        <f aca="false">IF(AND(G241=1,K241="Yes",N241="POL"),IF(COUNTIFS($A$2:A241,A241,$D$2:D241,D241,$E$2:E241,E241,$G$2:G241,1)=1,1,0),0)</f>
        <v>0</v>
      </c>
      <c r="P241" s="12" t="n">
        <f aca="false">IF(AND(ISNUMBER(G241),K241="Yes",N241="POL"),IF(AND(G241&gt;=1,G241&lt;=3,COUNTIFS($A$2:A241,A241,$D$2:D241,D241,$E$2:E241,E241,$G$2:G241,G241)=1),1,0),0)</f>
        <v>0</v>
      </c>
    </row>
    <row r="242" customFormat="false" ht="15" hidden="false" customHeight="false" outlineLevel="0" collapsed="false">
      <c r="A242" s="12" t="s">
        <v>207</v>
      </c>
      <c r="B242" s="13" t="n">
        <v>46144</v>
      </c>
      <c r="C242" s="12" t="str">
        <f aca="false">IF(A242="","",IFERROR(INDEX(Events!$D$2:$D$67,MATCH(A242,Events!$A$2:$A$67,0)),"Unknown event ID"))</f>
        <v>Gracia Orlová</v>
      </c>
      <c r="D242" s="12" t="s">
        <v>374</v>
      </c>
      <c r="E242" s="12" t="s">
        <v>59</v>
      </c>
      <c r="F242" s="12" t="s">
        <v>81</v>
      </c>
      <c r="G242" s="12" t="n">
        <v>5</v>
      </c>
      <c r="H242" s="12" t="s">
        <v>366</v>
      </c>
      <c r="I242" s="12"/>
      <c r="J242" s="12" t="s">
        <v>84</v>
      </c>
      <c r="K242" s="12" t="str">
        <f aca="false">IF(A242="","",IFERROR(IF(INDEX(Events!$J$2:$J$67,MATCH(A242,Events!$A$2:$A$67,0))="Yes",IF(ISNUMBER(SEARCH("Criterium final",D242)),"No","Yes"),"No"),""))</f>
        <v>No</v>
      </c>
      <c r="L242" s="12"/>
      <c r="M242" s="12" t="n">
        <f aca="false">IF(OR(A242="",F242=""),0,IF(COUNTIFS($A$2:A242,A242,$F$2:F242,F242)=1,1,0))</f>
        <v>0</v>
      </c>
      <c r="N242" s="12" t="str">
        <f aca="false">IF(A242="","",IFERROR(INDEX(Events!$F$2:$F$67,MATCH(A242,Events!$A$2:$A$67,0)),""))</f>
        <v>CZE</v>
      </c>
      <c r="O242" s="12" t="n">
        <f aca="false">IF(AND(G242=1,K242="Yes",N242="POL"),IF(COUNTIFS($A$2:A242,A242,$D$2:D242,D242,$E$2:E242,E242,$G$2:G242,1)=1,1,0),0)</f>
        <v>0</v>
      </c>
      <c r="P242" s="12" t="n">
        <f aca="false">IF(AND(ISNUMBER(G242),K242="Yes",N242="POL"),IF(AND(G242&gt;=1,G242&lt;=3,COUNTIFS($A$2:A242,A242,$D$2:D242,D242,$E$2:E242,E242,$G$2:G242,G242)=1),1,0),0)</f>
        <v>0</v>
      </c>
    </row>
    <row r="243" customFormat="false" ht="15" hidden="false" customHeight="false" outlineLevel="0" collapsed="false">
      <c r="A243" s="12" t="s">
        <v>207</v>
      </c>
      <c r="B243" s="13" t="n">
        <v>46144</v>
      </c>
      <c r="C243" s="12" t="str">
        <f aca="false">IF(A243="","",IFERROR(INDEX(Events!$D$2:$D$67,MATCH(A243,Events!$A$2:$A$67,0)),"Unknown event ID"))</f>
        <v>Gracia Orlová</v>
      </c>
      <c r="D243" s="12" t="s">
        <v>375</v>
      </c>
      <c r="E243" s="12" t="s">
        <v>59</v>
      </c>
      <c r="F243" s="12" t="s">
        <v>81</v>
      </c>
      <c r="G243" s="12" t="n">
        <v>34</v>
      </c>
      <c r="H243" s="12" t="s">
        <v>366</v>
      </c>
      <c r="I243" s="12"/>
      <c r="J243" s="12" t="s">
        <v>84</v>
      </c>
      <c r="K243" s="12" t="str">
        <f aca="false">IF(A243="","",IFERROR(IF(INDEX(Events!$J$2:$J$67,MATCH(A243,Events!$A$2:$A$67,0))="Yes",IF(ISNUMBER(SEARCH("Criterium final",D243)),"No","Yes"),"No"),""))</f>
        <v>No</v>
      </c>
      <c r="L243" s="12"/>
      <c r="M243" s="12" t="n">
        <f aca="false">IF(OR(A243="",F243=""),0,IF(COUNTIFS($A$2:A243,A243,$F$2:F243,F243)=1,1,0))</f>
        <v>0</v>
      </c>
      <c r="N243" s="12" t="str">
        <f aca="false">IF(A243="","",IFERROR(INDEX(Events!$F$2:$F$67,MATCH(A243,Events!$A$2:$A$67,0)),""))</f>
        <v>CZE</v>
      </c>
      <c r="O243" s="12" t="n">
        <f aca="false">IF(AND(G243=1,K243="Yes",N243="POL"),IF(COUNTIFS($A$2:A243,A243,$D$2:D243,D243,$E$2:E243,E243,$G$2:G243,1)=1,1,0),0)</f>
        <v>0</v>
      </c>
      <c r="P243" s="12" t="n">
        <f aca="false">IF(AND(ISNUMBER(G243),K243="Yes",N243="POL"),IF(AND(G243&gt;=1,G243&lt;=3,COUNTIFS($A$2:A243,A243,$D$2:D243,D243,$E$2:E243,E243,$G$2:G243,G243)=1),1,0),0)</f>
        <v>0</v>
      </c>
    </row>
    <row r="244" customFormat="false" ht="15" hidden="false" customHeight="false" outlineLevel="0" collapsed="false">
      <c r="A244" s="12" t="s">
        <v>207</v>
      </c>
      <c r="B244" s="13" t="n">
        <v>46145</v>
      </c>
      <c r="C244" s="12" t="str">
        <f aca="false">IF(A244="","",IFERROR(INDEX(Events!$D$2:$D$67,MATCH(A244,Events!$A$2:$A$67,0)),"Unknown event ID"))</f>
        <v>Gracia Orlová</v>
      </c>
      <c r="D244" s="12" t="s">
        <v>394</v>
      </c>
      <c r="E244" s="12" t="s">
        <v>59</v>
      </c>
      <c r="F244" s="12" t="s">
        <v>81</v>
      </c>
      <c r="G244" s="12" t="n">
        <v>1</v>
      </c>
      <c r="H244" s="12" t="s">
        <v>366</v>
      </c>
      <c r="I244" s="12"/>
      <c r="J244" s="12" t="s">
        <v>84</v>
      </c>
      <c r="K244" s="12" t="str">
        <f aca="false">IF(A244="","",IFERROR(IF(INDEX(Events!$J$2:$J$67,MATCH(A244,Events!$A$2:$A$67,0))="Yes",IF(ISNUMBER(SEARCH("Criterium final",D244)),"No","Yes"),"No"),""))</f>
        <v>No</v>
      </c>
      <c r="L244" s="12"/>
      <c r="M244" s="12" t="n">
        <f aca="false">IF(OR(A244="",F244=""),0,IF(COUNTIFS($A$2:A244,A244,$F$2:F244,F244)=1,1,0))</f>
        <v>0</v>
      </c>
      <c r="N244" s="12" t="str">
        <f aca="false">IF(A244="","",IFERROR(INDEX(Events!$F$2:$F$67,MATCH(A244,Events!$A$2:$A$67,0)),""))</f>
        <v>CZE</v>
      </c>
      <c r="O244" s="12" t="n">
        <f aca="false">IF(AND(G244=1,K244="Yes",N244="POL"),IF(COUNTIFS($A$2:A244,A244,$D$2:D244,D244,$E$2:E244,E244,$G$2:G244,1)=1,1,0),0)</f>
        <v>0</v>
      </c>
      <c r="P244" s="12" t="n">
        <f aca="false">IF(AND(ISNUMBER(G244),K244="Yes",N244="POL"),IF(AND(G244&gt;=1,G244&lt;=3,COUNTIFS($A$2:A244,A244,$D$2:D244,D244,$E$2:E244,E244,$G$2:G244,G244)=1),1,0),0)</f>
        <v>0</v>
      </c>
    </row>
    <row r="245" customFormat="false" ht="15" hidden="false" customHeight="false" outlineLevel="0" collapsed="false">
      <c r="A245" s="12" t="s">
        <v>207</v>
      </c>
      <c r="B245" s="13" t="n">
        <v>46145</v>
      </c>
      <c r="C245" s="12" t="str">
        <f aca="false">IF(A245="","",IFERROR(INDEX(Events!$D$2:$D$67,MATCH(A245,Events!$A$2:$A$67,0)),"Unknown event ID"))</f>
        <v>Gracia Orlová</v>
      </c>
      <c r="D245" s="12" t="s">
        <v>376</v>
      </c>
      <c r="E245" s="12" t="s">
        <v>59</v>
      </c>
      <c r="F245" s="12" t="s">
        <v>81</v>
      </c>
      <c r="G245" s="12" t="n">
        <v>3</v>
      </c>
      <c r="H245" s="12" t="s">
        <v>366</v>
      </c>
      <c r="I245" s="12"/>
      <c r="J245" s="12" t="s">
        <v>84</v>
      </c>
      <c r="K245" s="12" t="str">
        <f aca="false">IF(A245="","",IFERROR(IF(INDEX(Events!$J$2:$J$67,MATCH(A245,Events!$A$2:$A$67,0))="Yes",IF(ISNUMBER(SEARCH("Criterium final",D245)),"No","Yes"),"No"),""))</f>
        <v>No</v>
      </c>
      <c r="L245" s="12"/>
      <c r="M245" s="12" t="n">
        <f aca="false">IF(OR(A245="",F245=""),0,IF(COUNTIFS($A$2:A245,A245,$F$2:F245,F245)=1,1,0))</f>
        <v>0</v>
      </c>
      <c r="N245" s="12" t="str">
        <f aca="false">IF(A245="","",IFERROR(INDEX(Events!$F$2:$F$67,MATCH(A245,Events!$A$2:$A$67,0)),""))</f>
        <v>CZE</v>
      </c>
      <c r="O245" s="12" t="n">
        <f aca="false">IF(AND(G245=1,K245="Yes",N245="POL"),IF(COUNTIFS($A$2:A245,A245,$D$2:D245,D245,$E$2:E245,E245,$G$2:G245,1)=1,1,0),0)</f>
        <v>0</v>
      </c>
      <c r="P245" s="12" t="n">
        <f aca="false">IF(AND(ISNUMBER(G245),K245="Yes",N245="POL"),IF(AND(G245&gt;=1,G245&lt;=3,COUNTIFS($A$2:A245,A245,$D$2:D245,D245,$E$2:E245,E245,$G$2:G245,G245)=1),1,0),0)</f>
        <v>0</v>
      </c>
    </row>
    <row r="246" customFormat="false" ht="15" hidden="false" customHeight="false" outlineLevel="0" collapsed="false">
      <c r="A246" s="12" t="s">
        <v>223</v>
      </c>
      <c r="B246" s="13" t="n">
        <v>46156</v>
      </c>
      <c r="C246" s="12" t="str">
        <f aca="false">IF(A246="","",IFERROR(INDEX(Events!$D$2:$D$67,MATCH(A246,Events!$A$2:$A$67,0)),"Unknown event ID"))</f>
        <v>Tour de Feminin</v>
      </c>
      <c r="D246" s="12" t="s">
        <v>372</v>
      </c>
      <c r="E246" s="12" t="s">
        <v>59</v>
      </c>
      <c r="F246" s="12" t="s">
        <v>81</v>
      </c>
      <c r="G246" s="12" t="n">
        <v>7</v>
      </c>
      <c r="H246" s="12" t="s">
        <v>366</v>
      </c>
      <c r="I246" s="12"/>
      <c r="J246" s="12" t="s">
        <v>84</v>
      </c>
      <c r="K246" s="12" t="str">
        <f aca="false">IF(A246="","",IFERROR(IF(INDEX(Events!$J$2:$J$67,MATCH(A246,Events!$A$2:$A$67,0))="Yes",IF(ISNUMBER(SEARCH("Criterium final",D246)),"No","Yes"),"No"),""))</f>
        <v>No</v>
      </c>
      <c r="L246" s="12"/>
      <c r="M246" s="12" t="n">
        <f aca="false">IF(OR(A246="",F246=""),0,IF(COUNTIFS($A$2:A246,A246,$F$2:F246,F246)=1,1,0))</f>
        <v>1</v>
      </c>
      <c r="N246" s="12" t="str">
        <f aca="false">IF(A246="","",IFERROR(INDEX(Events!$F$2:$F$67,MATCH(A246,Events!$A$2:$A$67,0)),""))</f>
        <v>CZE</v>
      </c>
      <c r="O246" s="12" t="n">
        <f aca="false">IF(AND(G246=1,K246="Yes",N246="POL"),IF(COUNTIFS($A$2:A246,A246,$D$2:D246,D246,$E$2:E246,E246,$G$2:G246,1)=1,1,0),0)</f>
        <v>0</v>
      </c>
      <c r="P246" s="12" t="n">
        <f aca="false">IF(AND(ISNUMBER(G246),K246="Yes",N246="POL"),IF(AND(G246&gt;=1,G246&lt;=3,COUNTIFS($A$2:A246,A246,$D$2:D246,D246,$E$2:E246,E246,$G$2:G246,G246)=1),1,0),0)</f>
        <v>0</v>
      </c>
    </row>
    <row r="247" customFormat="false" ht="15" hidden="false" customHeight="false" outlineLevel="0" collapsed="false">
      <c r="A247" s="12" t="s">
        <v>223</v>
      </c>
      <c r="B247" s="13" t="n">
        <v>46157</v>
      </c>
      <c r="C247" s="12" t="str">
        <f aca="false">IF(A247="","",IFERROR(INDEX(Events!$D$2:$D$67,MATCH(A247,Events!$A$2:$A$67,0)),"Unknown event ID"))</f>
        <v>Tour de Feminin</v>
      </c>
      <c r="D247" s="12" t="s">
        <v>373</v>
      </c>
      <c r="E247" s="12" t="s">
        <v>59</v>
      </c>
      <c r="F247" s="12" t="s">
        <v>81</v>
      </c>
      <c r="G247" s="12" t="n">
        <v>3</v>
      </c>
      <c r="H247" s="12" t="s">
        <v>366</v>
      </c>
      <c r="I247" s="12"/>
      <c r="J247" s="12" t="s">
        <v>84</v>
      </c>
      <c r="K247" s="12" t="str">
        <f aca="false">IF(A247="","",IFERROR(IF(INDEX(Events!$J$2:$J$67,MATCH(A247,Events!$A$2:$A$67,0))="Yes",IF(ISNUMBER(SEARCH("Criterium final",D247)),"No","Yes"),"No"),""))</f>
        <v>No</v>
      </c>
      <c r="L247" s="12"/>
      <c r="M247" s="12" t="n">
        <f aca="false">IF(OR(A247="",F247=""),0,IF(COUNTIFS($A$2:A247,A247,$F$2:F247,F247)=1,1,0))</f>
        <v>0</v>
      </c>
      <c r="N247" s="12" t="str">
        <f aca="false">IF(A247="","",IFERROR(INDEX(Events!$F$2:$F$67,MATCH(A247,Events!$A$2:$A$67,0)),""))</f>
        <v>CZE</v>
      </c>
      <c r="O247" s="12" t="n">
        <f aca="false">IF(AND(G247=1,K247="Yes",N247="POL"),IF(COUNTIFS($A$2:A247,A247,$D$2:D247,D247,$E$2:E247,E247,$G$2:G247,1)=1,1,0),0)</f>
        <v>0</v>
      </c>
      <c r="P247" s="12" t="n">
        <f aca="false">IF(AND(ISNUMBER(G247),K247="Yes",N247="POL"),IF(AND(G247&gt;=1,G247&lt;=3,COUNTIFS($A$2:A247,A247,$D$2:D247,D247,$E$2:E247,E247,$G$2:G247,G247)=1),1,0),0)</f>
        <v>0</v>
      </c>
    </row>
    <row r="248" customFormat="false" ht="15" hidden="false" customHeight="false" outlineLevel="0" collapsed="false">
      <c r="A248" s="12" t="s">
        <v>223</v>
      </c>
      <c r="B248" s="13" t="n">
        <v>46158</v>
      </c>
      <c r="C248" s="12" t="str">
        <f aca="false">IF(A248="","",IFERROR(INDEX(Events!$D$2:$D$67,MATCH(A248,Events!$A$2:$A$67,0)),"Unknown event ID"))</f>
        <v>Tour de Feminin</v>
      </c>
      <c r="D248" s="12" t="s">
        <v>374</v>
      </c>
      <c r="E248" s="12" t="s">
        <v>59</v>
      </c>
      <c r="F248" s="12" t="s">
        <v>81</v>
      </c>
      <c r="G248" s="12" t="n">
        <v>19</v>
      </c>
      <c r="H248" s="12" t="s">
        <v>366</v>
      </c>
      <c r="I248" s="12"/>
      <c r="J248" s="12" t="s">
        <v>84</v>
      </c>
      <c r="K248" s="12" t="str">
        <f aca="false">IF(A248="","",IFERROR(IF(INDEX(Events!$J$2:$J$67,MATCH(A248,Events!$A$2:$A$67,0))="Yes",IF(ISNUMBER(SEARCH("Criterium final",D248)),"No","Yes"),"No"),""))</f>
        <v>No</v>
      </c>
      <c r="L248" s="12"/>
      <c r="M248" s="12" t="n">
        <f aca="false">IF(OR(A248="",F248=""),0,IF(COUNTIFS($A$2:A248,A248,$F$2:F248,F248)=1,1,0))</f>
        <v>0</v>
      </c>
      <c r="N248" s="12" t="str">
        <f aca="false">IF(A248="","",IFERROR(INDEX(Events!$F$2:$F$67,MATCH(A248,Events!$A$2:$A$67,0)),""))</f>
        <v>CZE</v>
      </c>
      <c r="O248" s="12" t="n">
        <f aca="false">IF(AND(G248=1,K248="Yes",N248="POL"),IF(COUNTIFS($A$2:A248,A248,$D$2:D248,D248,$E$2:E248,E248,$G$2:G248,1)=1,1,0),0)</f>
        <v>0</v>
      </c>
      <c r="P248" s="12" t="n">
        <f aca="false">IF(AND(ISNUMBER(G248),K248="Yes",N248="POL"),IF(AND(G248&gt;=1,G248&lt;=3,COUNTIFS($A$2:A248,A248,$D$2:D248,D248,$E$2:E248,E248,$G$2:G248,G248)=1),1,0),0)</f>
        <v>0</v>
      </c>
    </row>
    <row r="249" customFormat="false" ht="15" hidden="false" customHeight="false" outlineLevel="0" collapsed="false">
      <c r="A249" s="12" t="s">
        <v>223</v>
      </c>
      <c r="B249" s="13" t="n">
        <v>46159</v>
      </c>
      <c r="C249" s="12" t="str">
        <f aca="false">IF(A249="","",IFERROR(INDEX(Events!$D$2:$D$67,MATCH(A249,Events!$A$2:$A$67,0)),"Unknown event ID"))</f>
        <v>Tour de Feminin</v>
      </c>
      <c r="D249" s="12" t="s">
        <v>375</v>
      </c>
      <c r="E249" s="12" t="s">
        <v>59</v>
      </c>
      <c r="F249" s="12" t="s">
        <v>81</v>
      </c>
      <c r="G249" s="12" t="n">
        <v>9</v>
      </c>
      <c r="H249" s="12" t="s">
        <v>366</v>
      </c>
      <c r="I249" s="12"/>
      <c r="J249" s="12" t="s">
        <v>84</v>
      </c>
      <c r="K249" s="12" t="str">
        <f aca="false">IF(A249="","",IFERROR(IF(INDEX(Events!$J$2:$J$67,MATCH(A249,Events!$A$2:$A$67,0))="Yes",IF(ISNUMBER(SEARCH("Criterium final",D249)),"No","Yes"),"No"),""))</f>
        <v>No</v>
      </c>
      <c r="L249" s="12"/>
      <c r="M249" s="12" t="n">
        <f aca="false">IF(OR(A249="",F249=""),0,IF(COUNTIFS($A$2:A249,A249,$F$2:F249,F249)=1,1,0))</f>
        <v>0</v>
      </c>
      <c r="N249" s="12" t="str">
        <f aca="false">IF(A249="","",IFERROR(INDEX(Events!$F$2:$F$67,MATCH(A249,Events!$A$2:$A$67,0)),""))</f>
        <v>CZE</v>
      </c>
      <c r="O249" s="12" t="n">
        <f aca="false">IF(AND(G249=1,K249="Yes",N249="POL"),IF(COUNTIFS($A$2:A249,A249,$D$2:D249,D249,$E$2:E249,E249,$G$2:G249,1)=1,1,0),0)</f>
        <v>0</v>
      </c>
      <c r="P249" s="12" t="n">
        <f aca="false">IF(AND(ISNUMBER(G249),K249="Yes",N249="POL"),IF(AND(G249&gt;=1,G249&lt;=3,COUNTIFS($A$2:A249,A249,$D$2:D249,D249,$E$2:E249,E249,$G$2:G249,G249)=1),1,0),0)</f>
        <v>0</v>
      </c>
    </row>
    <row r="250" customFormat="false" ht="15" hidden="false" customHeight="false" outlineLevel="0" collapsed="false">
      <c r="A250" s="12" t="s">
        <v>223</v>
      </c>
      <c r="B250" s="13" t="n">
        <v>46159</v>
      </c>
      <c r="C250" s="12" t="str">
        <f aca="false">IF(A250="","",IFERROR(INDEX(Events!$D$2:$D$67,MATCH(A250,Events!$A$2:$A$67,0)),"Unknown event ID"))</f>
        <v>Tour de Feminin</v>
      </c>
      <c r="D250" s="12" t="s">
        <v>376</v>
      </c>
      <c r="E250" s="12" t="s">
        <v>59</v>
      </c>
      <c r="F250" s="12" t="s">
        <v>81</v>
      </c>
      <c r="G250" s="12" t="n">
        <v>3</v>
      </c>
      <c r="H250" s="12" t="s">
        <v>366</v>
      </c>
      <c r="I250" s="12"/>
      <c r="J250" s="12" t="s">
        <v>84</v>
      </c>
      <c r="K250" s="12" t="str">
        <f aca="false">IF(A250="","",IFERROR(IF(INDEX(Events!$J$2:$J$67,MATCH(A250,Events!$A$2:$A$67,0))="Yes",IF(ISNUMBER(SEARCH("Criterium final",D250)),"No","Yes"),"No"),""))</f>
        <v>No</v>
      </c>
      <c r="L250" s="12"/>
      <c r="M250" s="12" t="n">
        <f aca="false">IF(OR(A250="",F250=""),0,IF(COUNTIFS($A$2:A250,A250,$F$2:F250,F250)=1,1,0))</f>
        <v>0</v>
      </c>
      <c r="N250" s="12" t="str">
        <f aca="false">IF(A250="","",IFERROR(INDEX(Events!$F$2:$F$67,MATCH(A250,Events!$A$2:$A$67,0)),""))</f>
        <v>CZE</v>
      </c>
      <c r="O250" s="12" t="n">
        <f aca="false">IF(AND(G250=1,K250="Yes",N250="POL"),IF(COUNTIFS($A$2:A250,A250,$D$2:D250,D250,$E$2:E250,E250,$G$2:G250,1)=1,1,0),0)</f>
        <v>0</v>
      </c>
      <c r="P250" s="12" t="n">
        <f aca="false">IF(AND(ISNUMBER(G250),K250="Yes",N250="POL"),IF(AND(G250&gt;=1,G250&lt;=3,COUNTIFS($A$2:A250,A250,$D$2:D250,D250,$E$2:E250,E250,$G$2:G250,G250)=1),1,0),0)</f>
        <v>0</v>
      </c>
    </row>
    <row r="251" customFormat="false" ht="15" hidden="false" customHeight="false" outlineLevel="0" collapsed="false">
      <c r="A251" s="12" t="s">
        <v>243</v>
      </c>
      <c r="B251" s="13" t="n">
        <v>46194</v>
      </c>
      <c r="C251" s="12" t="str">
        <f aca="false">IF(A251="","",IFERROR(INDEX(Events!$D$2:$D$67,MATCH(A251,Events!$A$2:$A$67,0)),"Unknown event ID"))</f>
        <v>LOTTO Thüringen Women Cycling Challenge</v>
      </c>
      <c r="D251" s="12" t="s">
        <v>365</v>
      </c>
      <c r="E251" s="12" t="s">
        <v>59</v>
      </c>
      <c r="F251" s="12" t="s">
        <v>81</v>
      </c>
      <c r="G251" s="12" t="n">
        <v>8</v>
      </c>
      <c r="H251" s="12" t="s">
        <v>366</v>
      </c>
      <c r="I251" s="12"/>
      <c r="J251" s="12" t="s">
        <v>84</v>
      </c>
      <c r="K251" s="12" t="str">
        <f aca="false">IF(A251="","",IFERROR(IF(INDEX(Events!$J$2:$J$67,MATCH(A251,Events!$A$2:$A$67,0))="Yes",IF(ISNUMBER(SEARCH("Criterium final",D251)),"No","Yes"),"No"),""))</f>
        <v>No</v>
      </c>
      <c r="L251" s="12"/>
      <c r="M251" s="12" t="n">
        <f aca="false">IF(OR(A251="",F251=""),0,IF(COUNTIFS($A$2:A251,A251,$F$2:F251,F251)=1,1,0))</f>
        <v>1</v>
      </c>
      <c r="N251" s="12" t="str">
        <f aca="false">IF(A251="","",IFERROR(INDEX(Events!$F$2:$F$67,MATCH(A251,Events!$A$2:$A$67,0)),""))</f>
        <v>GER</v>
      </c>
      <c r="O251" s="12" t="n">
        <f aca="false">IF(AND(G251=1,K251="Yes",N251="POL"),IF(COUNTIFS($A$2:A251,A251,$D$2:D251,D251,$E$2:E251,E251,$G$2:G251,1)=1,1,0),0)</f>
        <v>0</v>
      </c>
      <c r="P251" s="12" t="n">
        <f aca="false">IF(AND(ISNUMBER(G251),K251="Yes",N251="POL"),IF(AND(G251&gt;=1,G251&lt;=3,COUNTIFS($A$2:A251,A251,$D$2:D251,D251,$E$2:E251,E251,$G$2:G251,G251)=1),1,0),0)</f>
        <v>0</v>
      </c>
    </row>
    <row r="252" customFormat="false" ht="15" hidden="false" customHeight="false" outlineLevel="0" collapsed="false">
      <c r="A252" s="12" t="s">
        <v>328</v>
      </c>
      <c r="B252" s="13" t="n">
        <v>46198</v>
      </c>
      <c r="C252" s="12" t="str">
        <f aca="false">IF(A252="","",IFERROR(INDEX(Events!$D$2:$D$67,MATCH(A252,Events!$A$2:$A$67,0)),"Unknown event ID"))</f>
        <v>Slovak National Road Championships</v>
      </c>
      <c r="D252" s="12" t="s">
        <v>387</v>
      </c>
      <c r="E252" s="12" t="s">
        <v>59</v>
      </c>
      <c r="F252" s="12" t="s">
        <v>81</v>
      </c>
      <c r="G252" s="12"/>
      <c r="H252" s="12" t="s">
        <v>33</v>
      </c>
      <c r="I252" s="12"/>
      <c r="J252" s="12" t="s">
        <v>84</v>
      </c>
      <c r="K252" s="12" t="str">
        <f aca="false">IF(A252="","",IFERROR(IF(INDEX(Events!$J$2:$J$67,MATCH(A252,Events!$A$2:$A$67,0))="Yes",IF(ISNUMBER(SEARCH("Criterium final",D252)),"No","Yes"),"No"),""))</f>
        <v>Yes</v>
      </c>
      <c r="L252" s="12"/>
      <c r="M252" s="12" t="n">
        <f aca="false">IF(OR(A252="",F252=""),0,IF(COUNTIFS($A$2:A252,A252,$F$2:F252,F252)=1,1,0))</f>
        <v>1</v>
      </c>
      <c r="N252" s="12" t="str">
        <f aca="false">IF(A252="","",IFERROR(INDEX(Events!$F$2:$F$67,MATCH(A252,Events!$A$2:$A$67,0)),""))</f>
        <v>SVK</v>
      </c>
      <c r="O252" s="12" t="n">
        <f aca="false">IF(AND(G252=1,K252="Yes",N252="POL"),IF(COUNTIFS($A$2:A252,A252,$D$2:D252,D252,$E$2:E252,E252,$G$2:G252,1)=1,1,0),0)</f>
        <v>0</v>
      </c>
      <c r="P252" s="12" t="n">
        <f aca="false">IF(AND(ISNUMBER(G252),K252="Yes",N252="POL"),IF(AND(G252&gt;=1,G252&lt;=3,COUNTIFS($A$2:A252,A252,$D$2:D252,D252,$E$2:E252,E252,$G$2:G252,G252)=1),1,0),0)</f>
        <v>0</v>
      </c>
    </row>
    <row r="253" customFormat="false" ht="15" hidden="false" customHeight="false" outlineLevel="0" collapsed="false">
      <c r="A253" s="12" t="s">
        <v>328</v>
      </c>
      <c r="B253" s="13" t="n">
        <v>46200</v>
      </c>
      <c r="C253" s="12" t="str">
        <f aca="false">IF(A253="","",IFERROR(INDEX(Events!$D$2:$D$67,MATCH(A253,Events!$A$2:$A$67,0)),"Unknown event ID"))</f>
        <v>Slovak National Road Championships</v>
      </c>
      <c r="D253" s="12" t="s">
        <v>367</v>
      </c>
      <c r="E253" s="12" t="s">
        <v>59</v>
      </c>
      <c r="F253" s="12" t="s">
        <v>81</v>
      </c>
      <c r="G253" s="12" t="n">
        <v>3</v>
      </c>
      <c r="H253" s="12" t="s">
        <v>366</v>
      </c>
      <c r="I253" s="12"/>
      <c r="J253" s="12" t="s">
        <v>84</v>
      </c>
      <c r="K253" s="12" t="str">
        <f aca="false">IF(A253="","",IFERROR(IF(INDEX(Events!$J$2:$J$67,MATCH(A253,Events!$A$2:$A$67,0))="Yes",IF(ISNUMBER(SEARCH("Criterium final",D253)),"No","Yes"),"No"),""))</f>
        <v>Yes</v>
      </c>
      <c r="L253" s="12"/>
      <c r="M253" s="12" t="n">
        <f aca="false">IF(OR(A253="",F253=""),0,IF(COUNTIFS($A$2:A253,A253,$F$2:F253,F253)=1,1,0))</f>
        <v>0</v>
      </c>
      <c r="N253" s="12" t="str">
        <f aca="false">IF(A253="","",IFERROR(INDEX(Events!$F$2:$F$67,MATCH(A253,Events!$A$2:$A$67,0)),""))</f>
        <v>SVK</v>
      </c>
      <c r="O253" s="12" t="n">
        <f aca="false">IF(AND(G253=1,K253="Yes",N253="POL"),IF(COUNTIFS($A$2:A253,A253,$D$2:D253,D253,$E$2:E253,E253,$G$2:G253,1)=1,1,0),0)</f>
        <v>0</v>
      </c>
      <c r="P253" s="12" t="n">
        <f aca="false">IF(AND(ISNUMBER(G253),K253="Yes",N253="POL"),IF(AND(G253&gt;=1,G253&lt;=3,COUNTIFS($A$2:A253,A253,$D$2:D253,D253,$E$2:E253,E253,$G$2:G253,G253)=1),1,0),0)</f>
        <v>0</v>
      </c>
    </row>
    <row r="254" customFormat="false" ht="15" hidden="false" customHeight="false" outlineLevel="0" collapsed="false">
      <c r="A254" s="12" t="s">
        <v>252</v>
      </c>
      <c r="B254" s="13" t="n">
        <v>46214</v>
      </c>
      <c r="C254" s="12" t="str">
        <f aca="false">IF(A254="","",IFERROR(INDEX(Events!$D$2:$D$67,MATCH(A254,Events!$A$2:$A$67,0)),"Unknown event ID"))</f>
        <v>Respect Ladies Race Slovakia</v>
      </c>
      <c r="D254" s="12" t="s">
        <v>365</v>
      </c>
      <c r="E254" s="12" t="s">
        <v>59</v>
      </c>
      <c r="F254" s="12" t="s">
        <v>81</v>
      </c>
      <c r="G254" s="12" t="n">
        <v>2</v>
      </c>
      <c r="H254" s="12" t="s">
        <v>366</v>
      </c>
      <c r="I254" s="12"/>
      <c r="J254" s="12" t="s">
        <v>84</v>
      </c>
      <c r="K254" s="12" t="str">
        <f aca="false">IF(A254="","",IFERROR(IF(INDEX(Events!$J$2:$J$67,MATCH(A254,Events!$A$2:$A$67,0))="Yes",IF(ISNUMBER(SEARCH("Criterium final",D254)),"No","Yes"),"No"),""))</f>
        <v>No</v>
      </c>
      <c r="L254" s="12"/>
      <c r="M254" s="12" t="n">
        <f aca="false">IF(OR(A254="",F254=""),0,IF(COUNTIFS($A$2:A254,A254,$F$2:F254,F254)=1,1,0))</f>
        <v>1</v>
      </c>
      <c r="N254" s="12" t="str">
        <f aca="false">IF(A254="","",IFERROR(INDEX(Events!$F$2:$F$67,MATCH(A254,Events!$A$2:$A$67,0)),""))</f>
        <v>SVK</v>
      </c>
      <c r="O254" s="12" t="n">
        <f aca="false">IF(AND(G254=1,K254="Yes",N254="POL"),IF(COUNTIFS($A$2:A254,A254,$D$2:D254,D254,$E$2:E254,E254,$G$2:G254,1)=1,1,0),0)</f>
        <v>0</v>
      </c>
      <c r="P254" s="12" t="n">
        <f aca="false">IF(AND(ISNUMBER(G254),K254="Yes",N254="POL"),IF(AND(G254&gt;=1,G254&lt;=3,COUNTIFS($A$2:A254,A254,$D$2:D254,D254,$E$2:E254,E254,$G$2:G254,G254)=1),1,0),0)</f>
        <v>0</v>
      </c>
    </row>
    <row r="255" customFormat="false" ht="15" hidden="false" customHeight="false" outlineLevel="0" collapsed="false">
      <c r="A255" s="12" t="s">
        <v>255</v>
      </c>
      <c r="B255" s="13" t="n">
        <v>46227</v>
      </c>
      <c r="C255" s="12" t="str">
        <f aca="false">IF(A255="","",IFERROR(INDEX(Events!$D$2:$D$67,MATCH(A255,Events!$A$2:$A$67,0)),"Unknown event ID"))</f>
        <v>Tour de Pologne Women</v>
      </c>
      <c r="D255" s="12" t="s">
        <v>377</v>
      </c>
      <c r="E255" s="12" t="s">
        <v>59</v>
      </c>
      <c r="F255" s="12" t="s">
        <v>81</v>
      </c>
      <c r="G255" s="12" t="n">
        <v>8</v>
      </c>
      <c r="H255" s="12" t="s">
        <v>366</v>
      </c>
      <c r="I255" s="12"/>
      <c r="J255" s="12" t="s">
        <v>84</v>
      </c>
      <c r="K255" s="12" t="str">
        <f aca="false">IF(A255="","",IFERROR(IF(INDEX(Events!$J$2:$J$67,MATCH(A255,Events!$A$2:$A$67,0))="Yes",IF(ISNUMBER(SEARCH("Criterium final",D255)),"No","Yes"),"No"),""))</f>
        <v>No</v>
      </c>
      <c r="L255" s="12"/>
      <c r="M255" s="12" t="n">
        <f aca="false">IF(OR(A255="",F255=""),0,IF(COUNTIFS($A$2:A255,A255,$F$2:F255,F255)=1,1,0))</f>
        <v>1</v>
      </c>
      <c r="N255" s="12" t="str">
        <f aca="false">IF(A255="","",IFERROR(INDEX(Events!$F$2:$F$67,MATCH(A255,Events!$A$2:$A$67,0)),""))</f>
        <v>POL</v>
      </c>
      <c r="O255" s="12" t="n">
        <f aca="false">IF(AND(G255=1,K255="Yes",N255="POL"),IF(COUNTIFS($A$2:A255,A255,$D$2:D255,D255,$E$2:E255,E255,$G$2:G255,1)=1,1,0),0)</f>
        <v>0</v>
      </c>
      <c r="P255" s="12" t="n">
        <f aca="false">IF(AND(ISNUMBER(G255),K255="Yes",N255="POL"),IF(AND(G255&gt;=1,G255&lt;=3,COUNTIFS($A$2:A255,A255,$D$2:D255,D255,$E$2:E255,E255,$G$2:G255,G255)=1),1,0),0)</f>
        <v>0</v>
      </c>
    </row>
    <row r="256" customFormat="false" ht="15" hidden="false" customHeight="false" outlineLevel="0" collapsed="false">
      <c r="A256" s="12" t="s">
        <v>255</v>
      </c>
      <c r="B256" s="13" t="n">
        <v>46228</v>
      </c>
      <c r="C256" s="12" t="str">
        <f aca="false">IF(A256="","",IFERROR(INDEX(Events!$D$2:$D$67,MATCH(A256,Events!$A$2:$A$67,0)),"Unknown event ID"))</f>
        <v>Tour de Pologne Women</v>
      </c>
      <c r="D256" s="12" t="s">
        <v>373</v>
      </c>
      <c r="E256" s="12" t="s">
        <v>59</v>
      </c>
      <c r="F256" s="12" t="s">
        <v>81</v>
      </c>
      <c r="G256" s="12" t="n">
        <v>56</v>
      </c>
      <c r="H256" s="12" t="s">
        <v>366</v>
      </c>
      <c r="I256" s="12"/>
      <c r="J256" s="12" t="s">
        <v>84</v>
      </c>
      <c r="K256" s="12" t="str">
        <f aca="false">IF(A256="","",IFERROR(IF(INDEX(Events!$J$2:$J$67,MATCH(A256,Events!$A$2:$A$67,0))="Yes",IF(ISNUMBER(SEARCH("Criterium final",D256)),"No","Yes"),"No"),""))</f>
        <v>No</v>
      </c>
      <c r="L256" s="12"/>
      <c r="M256" s="12" t="n">
        <f aca="false">IF(OR(A256="",F256=""),0,IF(COUNTIFS($A$2:A256,A256,$F$2:F256,F256)=1,1,0))</f>
        <v>0</v>
      </c>
      <c r="N256" s="12" t="str">
        <f aca="false">IF(A256="","",IFERROR(INDEX(Events!$F$2:$F$67,MATCH(A256,Events!$A$2:$A$67,0)),""))</f>
        <v>POL</v>
      </c>
      <c r="O256" s="12" t="n">
        <f aca="false">IF(AND(G256=1,K256="Yes",N256="POL"),IF(COUNTIFS($A$2:A256,A256,$D$2:D256,D256,$E$2:E256,E256,$G$2:G256,1)=1,1,0),0)</f>
        <v>0</v>
      </c>
      <c r="P256" s="12" t="n">
        <f aca="false">IF(AND(ISNUMBER(G256),K256="Yes",N256="POL"),IF(AND(G256&gt;=1,G256&lt;=3,COUNTIFS($A$2:A256,A256,$D$2:D256,D256,$E$2:E256,E256,$G$2:G256,G256)=1),1,0),0)</f>
        <v>0</v>
      </c>
    </row>
    <row r="257" customFormat="false" ht="15" hidden="false" customHeight="false" outlineLevel="0" collapsed="false">
      <c r="A257" s="12" t="s">
        <v>255</v>
      </c>
      <c r="B257" s="13" t="n">
        <v>46229</v>
      </c>
      <c r="C257" s="12" t="str">
        <f aca="false">IF(A257="","",IFERROR(INDEX(Events!$D$2:$D$67,MATCH(A257,Events!$A$2:$A$67,0)),"Unknown event ID"))</f>
        <v>Tour de Pologne Women</v>
      </c>
      <c r="D257" s="12" t="s">
        <v>374</v>
      </c>
      <c r="E257" s="12" t="s">
        <v>59</v>
      </c>
      <c r="F257" s="12" t="s">
        <v>81</v>
      </c>
      <c r="G257" s="12" t="n">
        <v>47</v>
      </c>
      <c r="H257" s="12" t="s">
        <v>366</v>
      </c>
      <c r="I257" s="12"/>
      <c r="J257" s="12" t="s">
        <v>84</v>
      </c>
      <c r="K257" s="12" t="str">
        <f aca="false">IF(A257="","",IFERROR(IF(INDEX(Events!$J$2:$J$67,MATCH(A257,Events!$A$2:$A$67,0))="Yes",IF(ISNUMBER(SEARCH("Criterium final",D257)),"No","Yes"),"No"),""))</f>
        <v>No</v>
      </c>
      <c r="L257" s="12"/>
      <c r="M257" s="12" t="n">
        <f aca="false">IF(OR(A257="",F257=""),0,IF(COUNTIFS($A$2:A257,A257,$F$2:F257,F257)=1,1,0))</f>
        <v>0</v>
      </c>
      <c r="N257" s="12" t="str">
        <f aca="false">IF(A257="","",IFERROR(INDEX(Events!$F$2:$F$67,MATCH(A257,Events!$A$2:$A$67,0)),""))</f>
        <v>POL</v>
      </c>
      <c r="O257" s="12" t="n">
        <f aca="false">IF(AND(G257=1,K257="Yes",N257="POL"),IF(COUNTIFS($A$2:A257,A257,$D$2:D257,D257,$E$2:E257,E257,$G$2:G257,1)=1,1,0),0)</f>
        <v>0</v>
      </c>
      <c r="P257" s="12" t="n">
        <f aca="false">IF(AND(ISNUMBER(G257),K257="Yes",N257="POL"),IF(AND(G257&gt;=1,G257&lt;=3,COUNTIFS($A$2:A257,A257,$D$2:D257,D257,$E$2:E257,E257,$G$2:G257,G257)=1),1,0),0)</f>
        <v>0</v>
      </c>
    </row>
    <row r="258" customFormat="false" ht="15" hidden="false" customHeight="false" outlineLevel="0" collapsed="false">
      <c r="A258" s="12" t="s">
        <v>255</v>
      </c>
      <c r="B258" s="13" t="n">
        <v>46229</v>
      </c>
      <c r="C258" s="12" t="str">
        <f aca="false">IF(A258="","",IFERROR(INDEX(Events!$D$2:$D$67,MATCH(A258,Events!$A$2:$A$67,0)),"Unknown event ID"))</f>
        <v>Tour de Pologne Women</v>
      </c>
      <c r="D258" s="12" t="s">
        <v>376</v>
      </c>
      <c r="E258" s="12" t="s">
        <v>59</v>
      </c>
      <c r="F258" s="12" t="s">
        <v>81</v>
      </c>
      <c r="G258" s="12" t="n">
        <v>30</v>
      </c>
      <c r="H258" s="12" t="s">
        <v>366</v>
      </c>
      <c r="I258" s="12"/>
      <c r="J258" s="12" t="s">
        <v>84</v>
      </c>
      <c r="K258" s="12" t="str">
        <f aca="false">IF(A258="","",IFERROR(IF(INDEX(Events!$J$2:$J$67,MATCH(A258,Events!$A$2:$A$67,0))="Yes",IF(ISNUMBER(SEARCH("Criterium final",D258)),"No","Yes"),"No"),""))</f>
        <v>No</v>
      </c>
      <c r="L258" s="12"/>
      <c r="M258" s="12" t="n">
        <f aca="false">IF(OR(A258="",F258=""),0,IF(COUNTIFS($A$2:A258,A258,$F$2:F258,F258)=1,1,0))</f>
        <v>0</v>
      </c>
      <c r="N258" s="12" t="str">
        <f aca="false">IF(A258="","",IFERROR(INDEX(Events!$F$2:$F$67,MATCH(A258,Events!$A$2:$A$67,0)),""))</f>
        <v>POL</v>
      </c>
      <c r="O258" s="12" t="n">
        <f aca="false">IF(AND(G258=1,K258="Yes",N258="POL"),IF(COUNTIFS($A$2:A258,A258,$D$2:D258,D258,$E$2:E258,E258,$G$2:G258,1)=1,1,0),0)</f>
        <v>0</v>
      </c>
      <c r="P258" s="12" t="n">
        <f aca="false">IF(AND(ISNUMBER(G258),K258="Yes",N258="POL"),IF(AND(G258&gt;=1,G258&lt;=3,COUNTIFS($A$2:A258,A258,$D$2:D258,D258,$E$2:E258,E258,$G$2:G258,G258)=1),1,0),0)</f>
        <v>0</v>
      </c>
    </row>
    <row r="259" customFormat="false" ht="15" hidden="false" customHeight="false" outlineLevel="0" collapsed="false">
      <c r="A259" s="12" t="s">
        <v>273</v>
      </c>
      <c r="B259" s="13" t="n">
        <v>46248</v>
      </c>
      <c r="C259" s="12" t="str">
        <f aca="false">IF(A259="","",IFERROR(INDEX(Events!$D$2:$D$67,MATCH(A259,Events!$A$2:$A$67,0)),"Unknown event ID"))</f>
        <v>Sowiogórski Tour</v>
      </c>
      <c r="D259" s="12" t="s">
        <v>373</v>
      </c>
      <c r="E259" s="12" t="s">
        <v>59</v>
      </c>
      <c r="F259" s="12" t="s">
        <v>81</v>
      </c>
      <c r="G259" s="12" t="n">
        <v>2</v>
      </c>
      <c r="H259" s="12" t="s">
        <v>366</v>
      </c>
      <c r="I259" s="12"/>
      <c r="J259" s="12" t="s">
        <v>418</v>
      </c>
      <c r="K259" s="12" t="str">
        <f aca="false">IF(A259="","",IFERROR(IF(INDEX(Events!$J$2:$J$67,MATCH(A259,Events!$A$2:$A$67,0))="Yes",IF(ISNUMBER(SEARCH("Criterium final",D259)),"No","Yes"),"No"),""))</f>
        <v>No</v>
      </c>
      <c r="L259" s="12"/>
      <c r="M259" s="12" t="n">
        <f aca="false">IF(OR(A259="",F259=""),0,IF(COUNTIFS($A$2:A259,A259,$F$2:F259,F259)=1,1,0))</f>
        <v>1</v>
      </c>
      <c r="N259" s="12" t="str">
        <f aca="false">IF(A259="","",IFERROR(INDEX(Events!$F$2:$F$67,MATCH(A259,Events!$A$2:$A$67,0)),""))</f>
        <v>POL</v>
      </c>
      <c r="O259" s="12" t="n">
        <f aca="false">IF(AND(G259=1,K259="Yes",N259="POL"),IF(COUNTIFS($A$2:A259,A259,$D$2:D259,D259,$E$2:E259,E259,$G$2:G259,1)=1,1,0),0)</f>
        <v>0</v>
      </c>
      <c r="P259" s="12" t="n">
        <f aca="false">IF(AND(ISNUMBER(G259),K259="Yes",N259="POL"),IF(AND(G259&gt;=1,G259&lt;=3,COUNTIFS($A$2:A259,A259,$D$2:D259,D259,$E$2:E259,E259,$G$2:G259,G259)=1),1,0),0)</f>
        <v>0</v>
      </c>
    </row>
    <row r="260" customFormat="false" ht="15" hidden="false" customHeight="false" outlineLevel="0" collapsed="false">
      <c r="A260" s="12" t="s">
        <v>273</v>
      </c>
      <c r="B260" s="13" t="n">
        <v>46249</v>
      </c>
      <c r="C260" s="12" t="str">
        <f aca="false">IF(A260="","",IFERROR(INDEX(Events!$D$2:$D$67,MATCH(A260,Events!$A$2:$A$67,0)),"Unknown event ID"))</f>
        <v>Sowiogórski Tour</v>
      </c>
      <c r="D260" s="12" t="s">
        <v>419</v>
      </c>
      <c r="E260" s="12" t="s">
        <v>59</v>
      </c>
      <c r="F260" s="12" t="s">
        <v>81</v>
      </c>
      <c r="G260" s="12" t="n">
        <v>2</v>
      </c>
      <c r="H260" s="12" t="s">
        <v>366</v>
      </c>
      <c r="I260" s="12"/>
      <c r="J260" s="12" t="s">
        <v>420</v>
      </c>
      <c r="K260" s="12" t="str">
        <f aca="false">IF(A260="","",IFERROR(IF(INDEX(Events!$J$2:$J$67,MATCH(A260,Events!$A$2:$A$67,0))="Yes",IF(ISNUMBER(SEARCH("Criterium final",D260)),"No","Yes"),"No"),""))</f>
        <v>No</v>
      </c>
      <c r="L260" s="12"/>
      <c r="M260" s="12" t="n">
        <f aca="false">IF(OR(A260="",F260=""),0,IF(COUNTIFS($A$2:A260,A260,$F$2:F260,F260)=1,1,0))</f>
        <v>0</v>
      </c>
      <c r="N260" s="12" t="str">
        <f aca="false">IF(A260="","",IFERROR(INDEX(Events!$F$2:$F$67,MATCH(A260,Events!$A$2:$A$67,0)),""))</f>
        <v>POL</v>
      </c>
      <c r="O260" s="12" t="n">
        <f aca="false">IF(AND(G260=1,K260="Yes",N260="POL"),IF(COUNTIFS($A$2:A260,A260,$D$2:D260,D260,$E$2:E260,E260,$G$2:G260,1)=1,1,0),0)</f>
        <v>0</v>
      </c>
      <c r="P260" s="12" t="n">
        <f aca="false">IF(AND(ISNUMBER(G260),K260="Yes",N260="POL"),IF(AND(G260&gt;=1,G260&lt;=3,COUNTIFS($A$2:A260,A260,$D$2:D260,D260,$E$2:E260,E260,$G$2:G260,G260)=1),1,0),0)</f>
        <v>0</v>
      </c>
    </row>
    <row r="261" customFormat="false" ht="15" hidden="false" customHeight="false" outlineLevel="0" collapsed="false">
      <c r="A261" s="12" t="s">
        <v>273</v>
      </c>
      <c r="B261" s="13" t="n">
        <v>46250</v>
      </c>
      <c r="C261" s="12" t="str">
        <f aca="false">IF(A261="","",IFERROR(INDEX(Events!$D$2:$D$67,MATCH(A261,Events!$A$2:$A$67,0)),"Unknown event ID"))</f>
        <v>Sowiogórski Tour</v>
      </c>
      <c r="D261" s="12" t="s">
        <v>375</v>
      </c>
      <c r="E261" s="12" t="s">
        <v>59</v>
      </c>
      <c r="F261" s="12" t="s">
        <v>81</v>
      </c>
      <c r="G261" s="12" t="n">
        <v>2</v>
      </c>
      <c r="H261" s="12" t="s">
        <v>366</v>
      </c>
      <c r="I261" s="12"/>
      <c r="J261" s="12" t="s">
        <v>421</v>
      </c>
      <c r="K261" s="12" t="str">
        <f aca="false">IF(A261="","",IFERROR(IF(INDEX(Events!$J$2:$J$67,MATCH(A261,Events!$A$2:$A$67,0))="Yes",IF(ISNUMBER(SEARCH("Criterium final",D261)),"No","Yes"),"No"),""))</f>
        <v>No</v>
      </c>
      <c r="L261" s="12"/>
      <c r="M261" s="12" t="n">
        <f aca="false">IF(OR(A261="",F261=""),0,IF(COUNTIFS($A$2:A261,A261,$F$2:F261,F261)=1,1,0))</f>
        <v>0</v>
      </c>
      <c r="N261" s="12" t="str">
        <f aca="false">IF(A261="","",IFERROR(INDEX(Events!$F$2:$F$67,MATCH(A261,Events!$A$2:$A$67,0)),""))</f>
        <v>POL</v>
      </c>
      <c r="O261" s="12" t="n">
        <f aca="false">IF(AND(G261=1,K261="Yes",N261="POL"),IF(COUNTIFS($A$2:A261,A261,$D$2:D261,D261,$E$2:E261,E261,$G$2:G261,1)=1,1,0),0)</f>
        <v>0</v>
      </c>
      <c r="P261" s="12" t="n">
        <f aca="false">IF(AND(ISNUMBER(G261),K261="Yes",N261="POL"),IF(AND(G261&gt;=1,G261&lt;=3,COUNTIFS($A$2:A261,A261,$D$2:D261,D261,$E$2:E261,E261,$G$2:G261,G261)=1),1,0),0)</f>
        <v>0</v>
      </c>
    </row>
    <row r="262" customFormat="false" ht="15" hidden="false" customHeight="false" outlineLevel="0" collapsed="false">
      <c r="A262" s="12" t="s">
        <v>339</v>
      </c>
      <c r="B262" s="13" t="n">
        <v>46254</v>
      </c>
      <c r="C262" s="12" t="str">
        <f aca="false">IF(A262="","",IFERROR(INDEX(Events!$D$2:$D$67,MATCH(A262,Events!$A$2:$A$67,0)),"Unknown event ID"))</f>
        <v>GP Lucien Van Impe</v>
      </c>
      <c r="D262" s="12" t="s">
        <v>365</v>
      </c>
      <c r="E262" s="12" t="s">
        <v>59</v>
      </c>
      <c r="F262" s="12" t="s">
        <v>81</v>
      </c>
      <c r="G262" s="12" t="n">
        <v>47</v>
      </c>
      <c r="H262" s="12" t="s">
        <v>366</v>
      </c>
      <c r="I262" s="12"/>
      <c r="J262" s="12" t="s">
        <v>84</v>
      </c>
      <c r="K262" s="12" t="str">
        <f aca="false">IF(A262="","",IFERROR(IF(INDEX(Events!$J$2:$J$67,MATCH(A262,Events!$A$2:$A$67,0))="Yes",IF(ISNUMBER(SEARCH("Criterium final",D262)),"No","Yes"),"No"),""))</f>
        <v>No</v>
      </c>
      <c r="L262" s="12"/>
      <c r="M262" s="12" t="n">
        <f aca="false">IF(OR(A262="",F262=""),0,IF(COUNTIFS($A$2:A262,A262,$F$2:F262,F262)=1,1,0))</f>
        <v>1</v>
      </c>
      <c r="N262" s="12" t="str">
        <f aca="false">IF(A262="","",IFERROR(INDEX(Events!$F$2:$F$67,MATCH(A262,Events!$A$2:$A$67,0)),""))</f>
        <v>BEL</v>
      </c>
      <c r="O262" s="12" t="n">
        <f aca="false">IF(AND(G262=1,K262="Yes",N262="POL"),IF(COUNTIFS($A$2:A262,A262,$D$2:D262,D262,$E$2:E262,E262,$G$2:G262,1)=1,1,0),0)</f>
        <v>0</v>
      </c>
      <c r="P262" s="12" t="n">
        <f aca="false">IF(AND(ISNUMBER(G262),K262="Yes",N262="POL"),IF(AND(G262&gt;=1,G262&lt;=3,COUNTIFS($A$2:A262,A262,$D$2:D262,D262,$E$2:E262,E262,$G$2:G262,G262)=1),1,0),0)</f>
        <v>0</v>
      </c>
    </row>
    <row r="263" customFormat="false" ht="15" hidden="false" customHeight="false" outlineLevel="0" collapsed="false">
      <c r="A263" s="12" t="s">
        <v>341</v>
      </c>
      <c r="B263" s="13" t="n">
        <v>46255</v>
      </c>
      <c r="C263" s="12" t="str">
        <f aca="false">IF(A263="","",IFERROR(INDEX(Events!$D$2:$D$67,MATCH(A263,Events!$A$2:$A$67,0)),"Unknown event ID"))</f>
        <v>Konvert Kortrijk Koerse</v>
      </c>
      <c r="D263" s="12" t="s">
        <v>365</v>
      </c>
      <c r="E263" s="12" t="s">
        <v>59</v>
      </c>
      <c r="F263" s="12" t="s">
        <v>81</v>
      </c>
      <c r="G263" s="12" t="n">
        <v>40</v>
      </c>
      <c r="H263" s="12" t="s">
        <v>366</v>
      </c>
      <c r="I263" s="12"/>
      <c r="J263" s="12" t="s">
        <v>84</v>
      </c>
      <c r="K263" s="12" t="str">
        <f aca="false">IF(A263="","",IFERROR(IF(INDEX(Events!$J$2:$J$67,MATCH(A263,Events!$A$2:$A$67,0))="Yes",IF(ISNUMBER(SEARCH("Criterium final",D263)),"No","Yes"),"No"),""))</f>
        <v>No</v>
      </c>
      <c r="L263" s="12"/>
      <c r="M263" s="12" t="n">
        <f aca="false">IF(OR(A263="",F263=""),0,IF(COUNTIFS($A$2:A263,A263,$F$2:F263,F263)=1,1,0))</f>
        <v>1</v>
      </c>
      <c r="N263" s="12" t="str">
        <f aca="false">IF(A263="","",IFERROR(INDEX(Events!$F$2:$F$67,MATCH(A263,Events!$A$2:$A$67,0)),""))</f>
        <v>BEL</v>
      </c>
      <c r="O263" s="12" t="n">
        <f aca="false">IF(AND(G263=1,K263="Yes",N263="POL"),IF(COUNTIFS($A$2:A263,A263,$D$2:D263,D263,$E$2:E263,E263,$G$2:G263,1)=1,1,0),0)</f>
        <v>0</v>
      </c>
      <c r="P263" s="12" t="n">
        <f aca="false">IF(AND(ISNUMBER(G263),K263="Yes",N263="POL"),IF(AND(G263&gt;=1,G263&lt;=3,COUNTIFS($A$2:A263,A263,$D$2:D263,D263,$E$2:E263,E263,$G$2:G263,G263)=1),1,0),0)</f>
        <v>0</v>
      </c>
    </row>
    <row r="264" customFormat="false" ht="15" hidden="false" customHeight="false" outlineLevel="0" collapsed="false">
      <c r="A264" s="12" t="s">
        <v>171</v>
      </c>
      <c r="B264" s="13" t="n">
        <v>46089</v>
      </c>
      <c r="C264" s="12" t="str">
        <f aca="false">IF(A264="","",IFERROR(INDEX(Events!$D$2:$D$67,MATCH(A264,Events!$A$2:$A$67,0)),"Unknown event ID"))</f>
        <v>POREČ Classic Ladies</v>
      </c>
      <c r="D264" s="12" t="s">
        <v>365</v>
      </c>
      <c r="E264" s="12" t="s">
        <v>59</v>
      </c>
      <c r="F264" s="12" t="s">
        <v>85</v>
      </c>
      <c r="G264" s="12" t="n">
        <v>56</v>
      </c>
      <c r="H264" s="12" t="s">
        <v>366</v>
      </c>
      <c r="I264" s="12"/>
      <c r="J264" s="12" t="s">
        <v>87</v>
      </c>
      <c r="K264" s="12" t="str">
        <f aca="false">IF(A264="","",IFERROR(IF(INDEX(Events!$J$2:$J$67,MATCH(A264,Events!$A$2:$A$67,0))="Yes",IF(ISNUMBER(SEARCH("Criterium final",D264)),"No","Yes"),"No"),""))</f>
        <v>No</v>
      </c>
      <c r="L264" s="12"/>
      <c r="M264" s="12" t="n">
        <f aca="false">IF(OR(A264="",F264=""),0,IF(COUNTIFS($A$2:A264,A264,$F$2:F264,F264)=1,1,0))</f>
        <v>1</v>
      </c>
      <c r="N264" s="12" t="str">
        <f aca="false">IF(A264="","",IFERROR(INDEX(Events!$F$2:$F$67,MATCH(A264,Events!$A$2:$A$67,0)),""))</f>
        <v>CRO</v>
      </c>
      <c r="O264" s="12" t="n">
        <f aca="false">IF(AND(G264=1,K264="Yes",N264="POL"),IF(COUNTIFS($A$2:A264,A264,$D$2:D264,D264,$E$2:E264,E264,$G$2:G264,1)=1,1,0),0)</f>
        <v>0</v>
      </c>
      <c r="P264" s="12" t="n">
        <f aca="false">IF(AND(ISNUMBER(G264),K264="Yes",N264="POL"),IF(AND(G264&gt;=1,G264&lt;=3,COUNTIFS($A$2:A264,A264,$D$2:D264,D264,$E$2:E264,E264,$G$2:G264,G264)=1),1,0),0)</f>
        <v>0</v>
      </c>
    </row>
    <row r="265" customFormat="false" ht="15" hidden="false" customHeight="false" outlineLevel="0" collapsed="false">
      <c r="A265" s="12" t="s">
        <v>181</v>
      </c>
      <c r="B265" s="13" t="n">
        <v>46116</v>
      </c>
      <c r="C265" s="12" t="str">
        <f aca="false">IF(A265="","",IFERROR(INDEX(Events!$D$2:$D$67,MATCH(A265,Events!$A$2:$A$67,0)),"Unknown event ID"))</f>
        <v>NXT Classic</v>
      </c>
      <c r="D265" s="12" t="s">
        <v>365</v>
      </c>
      <c r="E265" s="12" t="s">
        <v>59</v>
      </c>
      <c r="F265" s="12" t="s">
        <v>85</v>
      </c>
      <c r="G265" s="12" t="n">
        <v>37</v>
      </c>
      <c r="H265" s="12" t="s">
        <v>366</v>
      </c>
      <c r="I265" s="12"/>
      <c r="J265" s="12" t="s">
        <v>87</v>
      </c>
      <c r="K265" s="12" t="str">
        <f aca="false">IF(A265="","",IFERROR(IF(INDEX(Events!$J$2:$J$67,MATCH(A265,Events!$A$2:$A$67,0))="Yes",IF(ISNUMBER(SEARCH("Criterium final",D265)),"No","Yes"),"No"),""))</f>
        <v>No</v>
      </c>
      <c r="L265" s="12"/>
      <c r="M265" s="12" t="n">
        <f aca="false">IF(OR(A265="",F265=""),0,IF(COUNTIFS($A$2:A265,A265,$F$2:F265,F265)=1,1,0))</f>
        <v>1</v>
      </c>
      <c r="N265" s="12" t="str">
        <f aca="false">IF(A265="","",IFERROR(INDEX(Events!$F$2:$F$67,MATCH(A265,Events!$A$2:$A$67,0)),""))</f>
        <v>NED</v>
      </c>
      <c r="O265" s="12" t="n">
        <f aca="false">IF(AND(G265=1,K265="Yes",N265="POL"),IF(COUNTIFS($A$2:A265,A265,$D$2:D265,D265,$E$2:E265,E265,$G$2:G265,1)=1,1,0),0)</f>
        <v>0</v>
      </c>
      <c r="P265" s="12" t="n">
        <f aca="false">IF(AND(ISNUMBER(G265),K265="Yes",N265="POL"),IF(AND(G265&gt;=1,G265&lt;=3,COUNTIFS($A$2:A265,A265,$D$2:D265,D265,$E$2:E265,E265,$G$2:G265,G265)=1),1,0),0)</f>
        <v>0</v>
      </c>
    </row>
    <row r="266" customFormat="false" ht="15" hidden="false" customHeight="false" outlineLevel="0" collapsed="false">
      <c r="A266" s="12" t="s">
        <v>185</v>
      </c>
      <c r="B266" s="13" t="n">
        <v>46118</v>
      </c>
      <c r="C266" s="12" t="str">
        <f aca="false">IF(A266="","",IFERROR(INDEX(Events!$D$2:$D$67,MATCH(A266,Events!$A$2:$A$67,0)),"Unknown event ID"))</f>
        <v>Ronde de Mouscron</v>
      </c>
      <c r="D266" s="12" t="s">
        <v>365</v>
      </c>
      <c r="E266" s="12" t="s">
        <v>59</v>
      </c>
      <c r="F266" s="12" t="s">
        <v>85</v>
      </c>
      <c r="G266" s="12" t="n">
        <v>63</v>
      </c>
      <c r="H266" s="12" t="s">
        <v>366</v>
      </c>
      <c r="I266" s="12"/>
      <c r="J266" s="12" t="s">
        <v>87</v>
      </c>
      <c r="K266" s="12" t="str">
        <f aca="false">IF(A266="","",IFERROR(IF(INDEX(Events!$J$2:$J$67,MATCH(A266,Events!$A$2:$A$67,0))="Yes",IF(ISNUMBER(SEARCH("Criterium final",D266)),"No","Yes"),"No"),""))</f>
        <v>No</v>
      </c>
      <c r="L266" s="12"/>
      <c r="M266" s="12" t="n">
        <f aca="false">IF(OR(A266="",F266=""),0,IF(COUNTIFS($A$2:A266,A266,$F$2:F266,F266)=1,1,0))</f>
        <v>1</v>
      </c>
      <c r="N266" s="12" t="str">
        <f aca="false">IF(A266="","",IFERROR(INDEX(Events!$F$2:$F$67,MATCH(A266,Events!$A$2:$A$67,0)),""))</f>
        <v>BEL</v>
      </c>
      <c r="O266" s="12" t="n">
        <f aca="false">IF(AND(G266=1,K266="Yes",N266="POL"),IF(COUNTIFS($A$2:A266,A266,$D$2:D266,D266,$E$2:E266,E266,$G$2:G266,1)=1,1,0),0)</f>
        <v>0</v>
      </c>
      <c r="P266" s="12" t="n">
        <f aca="false">IF(AND(ISNUMBER(G266),K266="Yes",N266="POL"),IF(AND(G266&gt;=1,G266&lt;=3,COUNTIFS($A$2:A266,A266,$D$2:D266,D266,$E$2:E266,E266,$G$2:G266,G266)=1),1,0),0)</f>
        <v>0</v>
      </c>
    </row>
    <row r="267" customFormat="false" ht="15" hidden="false" customHeight="false" outlineLevel="0" collapsed="false">
      <c r="A267" s="12" t="s">
        <v>193</v>
      </c>
      <c r="B267" s="13" t="n">
        <v>46129</v>
      </c>
      <c r="C267" s="12" t="str">
        <f aca="false">IF(A267="","",IFERROR(INDEX(Events!$D$2:$D$67,MATCH(A267,Events!$A$2:$A$67,0)),"Unknown event ID"))</f>
        <v>De Brabantse Pijl</v>
      </c>
      <c r="D267" s="12" t="s">
        <v>365</v>
      </c>
      <c r="E267" s="12" t="s">
        <v>59</v>
      </c>
      <c r="F267" s="12" t="s">
        <v>85</v>
      </c>
      <c r="G267" s="12" t="n">
        <v>55</v>
      </c>
      <c r="H267" s="12" t="s">
        <v>366</v>
      </c>
      <c r="I267" s="12"/>
      <c r="J267" s="12" t="s">
        <v>87</v>
      </c>
      <c r="K267" s="12" t="str">
        <f aca="false">IF(A267="","",IFERROR(IF(INDEX(Events!$J$2:$J$67,MATCH(A267,Events!$A$2:$A$67,0))="Yes",IF(ISNUMBER(SEARCH("Criterium final",D267)),"No","Yes"),"No"),""))</f>
        <v>No</v>
      </c>
      <c r="L267" s="12"/>
      <c r="M267" s="12" t="n">
        <f aca="false">IF(OR(A267="",F267=""),0,IF(COUNTIFS($A$2:A267,A267,$F$2:F267,F267)=1,1,0))</f>
        <v>1</v>
      </c>
      <c r="N267" s="12" t="str">
        <f aca="false">IF(A267="","",IFERROR(INDEX(Events!$F$2:$F$67,MATCH(A267,Events!$A$2:$A$67,0)),""))</f>
        <v>BEL</v>
      </c>
      <c r="O267" s="12" t="n">
        <f aca="false">IF(AND(G267=1,K267="Yes",N267="POL"),IF(COUNTIFS($A$2:A267,A267,$D$2:D267,D267,$E$2:E267,E267,$G$2:G267,1)=1,1,0),0)</f>
        <v>0</v>
      </c>
      <c r="P267" s="12" t="n">
        <f aca="false">IF(AND(ISNUMBER(G267),K267="Yes",N267="POL"),IF(AND(G267&gt;=1,G267&lt;=3,COUNTIFS($A$2:A267,A267,$D$2:D267,D267,$E$2:E267,E267,$G$2:G267,G267)=1),1,0),0)</f>
        <v>0</v>
      </c>
    </row>
    <row r="268" customFormat="false" ht="15" hidden="false" customHeight="false" outlineLevel="0" collapsed="false">
      <c r="A268" s="12" t="s">
        <v>207</v>
      </c>
      <c r="B268" s="13" t="n">
        <v>46142</v>
      </c>
      <c r="C268" s="12" t="str">
        <f aca="false">IF(A268="","",IFERROR(INDEX(Events!$D$2:$D$67,MATCH(A268,Events!$A$2:$A$67,0)),"Unknown event ID"))</f>
        <v>Gracia Orlová</v>
      </c>
      <c r="D268" s="12" t="s">
        <v>377</v>
      </c>
      <c r="E268" s="12" t="s">
        <v>59</v>
      </c>
      <c r="F268" s="12" t="s">
        <v>85</v>
      </c>
      <c r="G268" s="12" t="n">
        <v>29</v>
      </c>
      <c r="H268" s="12" t="s">
        <v>366</v>
      </c>
      <c r="I268" s="12"/>
      <c r="J268" s="12" t="s">
        <v>87</v>
      </c>
      <c r="K268" s="12" t="str">
        <f aca="false">IF(A268="","",IFERROR(IF(INDEX(Events!$J$2:$J$67,MATCH(A268,Events!$A$2:$A$67,0))="Yes",IF(ISNUMBER(SEARCH("Criterium final",D268)),"No","Yes"),"No"),""))</f>
        <v>No</v>
      </c>
      <c r="L268" s="12"/>
      <c r="M268" s="12" t="n">
        <f aca="false">IF(OR(A268="",F268=""),0,IF(COUNTIFS($A$2:A268,A268,$F$2:F268,F268)=1,1,0))</f>
        <v>1</v>
      </c>
      <c r="N268" s="12" t="str">
        <f aca="false">IF(A268="","",IFERROR(INDEX(Events!$F$2:$F$67,MATCH(A268,Events!$A$2:$A$67,0)),""))</f>
        <v>CZE</v>
      </c>
      <c r="O268" s="12" t="n">
        <f aca="false">IF(AND(G268=1,K268="Yes",N268="POL"),IF(COUNTIFS($A$2:A268,A268,$D$2:D268,D268,$E$2:E268,E268,$G$2:G268,1)=1,1,0),0)</f>
        <v>0</v>
      </c>
      <c r="P268" s="12" t="n">
        <f aca="false">IF(AND(ISNUMBER(G268),K268="Yes",N268="POL"),IF(AND(G268&gt;=1,G268&lt;=3,COUNTIFS($A$2:A268,A268,$D$2:D268,D268,$E$2:E268,E268,$G$2:G268,G268)=1),1,0),0)</f>
        <v>0</v>
      </c>
    </row>
    <row r="269" customFormat="false" ht="15" hidden="false" customHeight="false" outlineLevel="0" collapsed="false">
      <c r="A269" s="12" t="s">
        <v>207</v>
      </c>
      <c r="B269" s="13" t="n">
        <v>46143</v>
      </c>
      <c r="C269" s="12" t="str">
        <f aca="false">IF(A269="","",IFERROR(INDEX(Events!$D$2:$D$67,MATCH(A269,Events!$A$2:$A$67,0)),"Unknown event ID"))</f>
        <v>Gracia Orlová</v>
      </c>
      <c r="D269" s="12" t="s">
        <v>373</v>
      </c>
      <c r="E269" s="12" t="s">
        <v>59</v>
      </c>
      <c r="F269" s="12" t="s">
        <v>85</v>
      </c>
      <c r="G269" s="12" t="n">
        <v>22</v>
      </c>
      <c r="H269" s="12" t="s">
        <v>366</v>
      </c>
      <c r="I269" s="12"/>
      <c r="J269" s="12" t="s">
        <v>87</v>
      </c>
      <c r="K269" s="12" t="str">
        <f aca="false">IF(A269="","",IFERROR(IF(INDEX(Events!$J$2:$J$67,MATCH(A269,Events!$A$2:$A$67,0))="Yes",IF(ISNUMBER(SEARCH("Criterium final",D269)),"No","Yes"),"No"),""))</f>
        <v>No</v>
      </c>
      <c r="L269" s="12"/>
      <c r="M269" s="12" t="n">
        <f aca="false">IF(OR(A269="",F269=""),0,IF(COUNTIFS($A$2:A269,A269,$F$2:F269,F269)=1,1,0))</f>
        <v>0</v>
      </c>
      <c r="N269" s="12" t="str">
        <f aca="false">IF(A269="","",IFERROR(INDEX(Events!$F$2:$F$67,MATCH(A269,Events!$A$2:$A$67,0)),""))</f>
        <v>CZE</v>
      </c>
      <c r="O269" s="12" t="n">
        <f aca="false">IF(AND(G269=1,K269="Yes",N269="POL"),IF(COUNTIFS($A$2:A269,A269,$D$2:D269,D269,$E$2:E269,E269,$G$2:G269,1)=1,1,0),0)</f>
        <v>0</v>
      </c>
      <c r="P269" s="12" t="n">
        <f aca="false">IF(AND(ISNUMBER(G269),K269="Yes",N269="POL"),IF(AND(G269&gt;=1,G269&lt;=3,COUNTIFS($A$2:A269,A269,$D$2:D269,D269,$E$2:E269,E269,$G$2:G269,G269)=1),1,0),0)</f>
        <v>0</v>
      </c>
    </row>
    <row r="270" customFormat="false" ht="15" hidden="false" customHeight="false" outlineLevel="0" collapsed="false">
      <c r="A270" s="12" t="s">
        <v>207</v>
      </c>
      <c r="B270" s="13" t="n">
        <v>46144</v>
      </c>
      <c r="C270" s="12" t="str">
        <f aca="false">IF(A270="","",IFERROR(INDEX(Events!$D$2:$D$67,MATCH(A270,Events!$A$2:$A$67,0)),"Unknown event ID"))</f>
        <v>Gracia Orlová</v>
      </c>
      <c r="D270" s="12" t="s">
        <v>374</v>
      </c>
      <c r="E270" s="12" t="s">
        <v>59</v>
      </c>
      <c r="F270" s="12" t="s">
        <v>85</v>
      </c>
      <c r="G270" s="12" t="n">
        <v>35</v>
      </c>
      <c r="H270" s="12" t="s">
        <v>366</v>
      </c>
      <c r="I270" s="12"/>
      <c r="J270" s="12" t="s">
        <v>87</v>
      </c>
      <c r="K270" s="12" t="str">
        <f aca="false">IF(A270="","",IFERROR(IF(INDEX(Events!$J$2:$J$67,MATCH(A270,Events!$A$2:$A$67,0))="Yes",IF(ISNUMBER(SEARCH("Criterium final",D270)),"No","Yes"),"No"),""))</f>
        <v>No</v>
      </c>
      <c r="L270" s="12"/>
      <c r="M270" s="12" t="n">
        <f aca="false">IF(OR(A270="",F270=""),0,IF(COUNTIFS($A$2:A270,A270,$F$2:F270,F270)=1,1,0))</f>
        <v>0</v>
      </c>
      <c r="N270" s="12" t="str">
        <f aca="false">IF(A270="","",IFERROR(INDEX(Events!$F$2:$F$67,MATCH(A270,Events!$A$2:$A$67,0)),""))</f>
        <v>CZE</v>
      </c>
      <c r="O270" s="12" t="n">
        <f aca="false">IF(AND(G270=1,K270="Yes",N270="POL"),IF(COUNTIFS($A$2:A270,A270,$D$2:D270,D270,$E$2:E270,E270,$G$2:G270,1)=1,1,0),0)</f>
        <v>0</v>
      </c>
      <c r="P270" s="12" t="n">
        <f aca="false">IF(AND(ISNUMBER(G270),K270="Yes",N270="POL"),IF(AND(G270&gt;=1,G270&lt;=3,COUNTIFS($A$2:A270,A270,$D$2:D270,D270,$E$2:E270,E270,$G$2:G270,G270)=1),1,0),0)</f>
        <v>0</v>
      </c>
    </row>
    <row r="271" customFormat="false" ht="15" hidden="false" customHeight="false" outlineLevel="0" collapsed="false">
      <c r="A271" s="12" t="s">
        <v>207</v>
      </c>
      <c r="B271" s="13" t="n">
        <v>46144</v>
      </c>
      <c r="C271" s="12" t="str">
        <f aca="false">IF(A271="","",IFERROR(INDEX(Events!$D$2:$D$67,MATCH(A271,Events!$A$2:$A$67,0)),"Unknown event ID"))</f>
        <v>Gracia Orlová</v>
      </c>
      <c r="D271" s="12" t="s">
        <v>375</v>
      </c>
      <c r="E271" s="12" t="s">
        <v>59</v>
      </c>
      <c r="F271" s="12" t="s">
        <v>85</v>
      </c>
      <c r="G271" s="12" t="n">
        <v>67</v>
      </c>
      <c r="H271" s="12" t="s">
        <v>366</v>
      </c>
      <c r="I271" s="12"/>
      <c r="J271" s="12" t="s">
        <v>87</v>
      </c>
      <c r="K271" s="12" t="str">
        <f aca="false">IF(A271="","",IFERROR(IF(INDEX(Events!$J$2:$J$67,MATCH(A271,Events!$A$2:$A$67,0))="Yes",IF(ISNUMBER(SEARCH("Criterium final",D271)),"No","Yes"),"No"),""))</f>
        <v>No</v>
      </c>
      <c r="L271" s="12"/>
      <c r="M271" s="12" t="n">
        <f aca="false">IF(OR(A271="",F271=""),0,IF(COUNTIFS($A$2:A271,A271,$F$2:F271,F271)=1,1,0))</f>
        <v>0</v>
      </c>
      <c r="N271" s="12" t="str">
        <f aca="false">IF(A271="","",IFERROR(INDEX(Events!$F$2:$F$67,MATCH(A271,Events!$A$2:$A$67,0)),""))</f>
        <v>CZE</v>
      </c>
      <c r="O271" s="12" t="n">
        <f aca="false">IF(AND(G271=1,K271="Yes",N271="POL"),IF(COUNTIFS($A$2:A271,A271,$D$2:D271,D271,$E$2:E271,E271,$G$2:G271,1)=1,1,0),0)</f>
        <v>0</v>
      </c>
      <c r="P271" s="12" t="n">
        <f aca="false">IF(AND(ISNUMBER(G271),K271="Yes",N271="POL"),IF(AND(G271&gt;=1,G271&lt;=3,COUNTIFS($A$2:A271,A271,$D$2:D271,D271,$E$2:E271,E271,$G$2:G271,G271)=1),1,0),0)</f>
        <v>0</v>
      </c>
    </row>
    <row r="272" customFormat="false" ht="15" hidden="false" customHeight="false" outlineLevel="0" collapsed="false">
      <c r="A272" s="12" t="s">
        <v>207</v>
      </c>
      <c r="B272" s="13" t="n">
        <v>46145</v>
      </c>
      <c r="C272" s="12" t="str">
        <f aca="false">IF(A272="","",IFERROR(INDEX(Events!$D$2:$D$67,MATCH(A272,Events!$A$2:$A$67,0)),"Unknown event ID"))</f>
        <v>Gracia Orlová</v>
      </c>
      <c r="D272" s="12" t="s">
        <v>394</v>
      </c>
      <c r="E272" s="12" t="s">
        <v>59</v>
      </c>
      <c r="F272" s="12" t="s">
        <v>85</v>
      </c>
      <c r="G272" s="12" t="n">
        <v>27</v>
      </c>
      <c r="H272" s="12" t="s">
        <v>366</v>
      </c>
      <c r="I272" s="12"/>
      <c r="J272" s="12" t="s">
        <v>87</v>
      </c>
      <c r="K272" s="12" t="str">
        <f aca="false">IF(A272="","",IFERROR(IF(INDEX(Events!$J$2:$J$67,MATCH(A272,Events!$A$2:$A$67,0))="Yes",IF(ISNUMBER(SEARCH("Criterium final",D272)),"No","Yes"),"No"),""))</f>
        <v>No</v>
      </c>
      <c r="L272" s="12"/>
      <c r="M272" s="12" t="n">
        <f aca="false">IF(OR(A272="",F272=""),0,IF(COUNTIFS($A$2:A272,A272,$F$2:F272,F272)=1,1,0))</f>
        <v>0</v>
      </c>
      <c r="N272" s="12" t="str">
        <f aca="false">IF(A272="","",IFERROR(INDEX(Events!$F$2:$F$67,MATCH(A272,Events!$A$2:$A$67,0)),""))</f>
        <v>CZE</v>
      </c>
      <c r="O272" s="12" t="n">
        <f aca="false">IF(AND(G272=1,K272="Yes",N272="POL"),IF(COUNTIFS($A$2:A272,A272,$D$2:D272,D272,$E$2:E272,E272,$G$2:G272,1)=1,1,0),0)</f>
        <v>0</v>
      </c>
      <c r="P272" s="12" t="n">
        <f aca="false">IF(AND(ISNUMBER(G272),K272="Yes",N272="POL"),IF(AND(G272&gt;=1,G272&lt;=3,COUNTIFS($A$2:A272,A272,$D$2:D272,D272,$E$2:E272,E272,$G$2:G272,G272)=1),1,0),0)</f>
        <v>0</v>
      </c>
    </row>
    <row r="273" customFormat="false" ht="15" hidden="false" customHeight="false" outlineLevel="0" collapsed="false">
      <c r="A273" s="12" t="s">
        <v>207</v>
      </c>
      <c r="B273" s="13" t="n">
        <v>46145</v>
      </c>
      <c r="C273" s="12" t="str">
        <f aca="false">IF(A273="","",IFERROR(INDEX(Events!$D$2:$D$67,MATCH(A273,Events!$A$2:$A$67,0)),"Unknown event ID"))</f>
        <v>Gracia Orlová</v>
      </c>
      <c r="D273" s="12" t="s">
        <v>376</v>
      </c>
      <c r="E273" s="12" t="s">
        <v>59</v>
      </c>
      <c r="F273" s="12" t="s">
        <v>85</v>
      </c>
      <c r="G273" s="12" t="n">
        <v>15</v>
      </c>
      <c r="H273" s="12" t="s">
        <v>366</v>
      </c>
      <c r="I273" s="12"/>
      <c r="J273" s="12" t="s">
        <v>87</v>
      </c>
      <c r="K273" s="12" t="str">
        <f aca="false">IF(A273="","",IFERROR(IF(INDEX(Events!$J$2:$J$67,MATCH(A273,Events!$A$2:$A$67,0))="Yes",IF(ISNUMBER(SEARCH("Criterium final",D273)),"No","Yes"),"No"),""))</f>
        <v>No</v>
      </c>
      <c r="L273" s="12"/>
      <c r="M273" s="12" t="n">
        <f aca="false">IF(OR(A273="",F273=""),0,IF(COUNTIFS($A$2:A273,A273,$F$2:F273,F273)=1,1,0))</f>
        <v>0</v>
      </c>
      <c r="N273" s="12" t="str">
        <f aca="false">IF(A273="","",IFERROR(INDEX(Events!$F$2:$F$67,MATCH(A273,Events!$A$2:$A$67,0)),""))</f>
        <v>CZE</v>
      </c>
      <c r="O273" s="12" t="n">
        <f aca="false">IF(AND(G273=1,K273="Yes",N273="POL"),IF(COUNTIFS($A$2:A273,A273,$D$2:D273,D273,$E$2:E273,E273,$G$2:G273,1)=1,1,0),0)</f>
        <v>0</v>
      </c>
      <c r="P273" s="12" t="n">
        <f aca="false">IF(AND(ISNUMBER(G273),K273="Yes",N273="POL"),IF(AND(G273&gt;=1,G273&lt;=3,COUNTIFS($A$2:A273,A273,$D$2:D273,D273,$E$2:E273,E273,$G$2:G273,G273)=1),1,0),0)</f>
        <v>0</v>
      </c>
    </row>
    <row r="274" customFormat="false" ht="15" hidden="false" customHeight="false" outlineLevel="0" collapsed="false">
      <c r="A274" s="12" t="s">
        <v>220</v>
      </c>
      <c r="B274" s="13" t="n">
        <v>46152</v>
      </c>
      <c r="C274" s="12" t="str">
        <f aca="false">IF(A274="","",IFERROR(INDEX(Events!$D$2:$D$67,MATCH(A274,Events!$A$2:$A$67,0)),"Unknown event ID"))</f>
        <v>Trofee Maarten Wynants</v>
      </c>
      <c r="D274" s="12" t="s">
        <v>365</v>
      </c>
      <c r="E274" s="12" t="s">
        <v>59</v>
      </c>
      <c r="F274" s="12" t="s">
        <v>85</v>
      </c>
      <c r="G274" s="12" t="n">
        <v>58</v>
      </c>
      <c r="H274" s="12" t="s">
        <v>366</v>
      </c>
      <c r="I274" s="12"/>
      <c r="J274" s="12" t="s">
        <v>87</v>
      </c>
      <c r="K274" s="12" t="str">
        <f aca="false">IF(A274="","",IFERROR(IF(INDEX(Events!$J$2:$J$67,MATCH(A274,Events!$A$2:$A$67,0))="Yes",IF(ISNUMBER(SEARCH("Criterium final",D274)),"No","Yes"),"No"),""))</f>
        <v>No</v>
      </c>
      <c r="L274" s="12"/>
      <c r="M274" s="12" t="n">
        <f aca="false">IF(OR(A274="",F274=""),0,IF(COUNTIFS($A$2:A274,A274,$F$2:F274,F274)=1,1,0))</f>
        <v>1</v>
      </c>
      <c r="N274" s="12" t="str">
        <f aca="false">IF(A274="","",IFERROR(INDEX(Events!$F$2:$F$67,MATCH(A274,Events!$A$2:$A$67,0)),""))</f>
        <v>BEL</v>
      </c>
      <c r="O274" s="12" t="n">
        <f aca="false">IF(AND(G274=1,K274="Yes",N274="POL"),IF(COUNTIFS($A$2:A274,A274,$D$2:D274,D274,$E$2:E274,E274,$G$2:G274,1)=1,1,0),0)</f>
        <v>0</v>
      </c>
      <c r="P274" s="12" t="n">
        <f aca="false">IF(AND(ISNUMBER(G274),K274="Yes",N274="POL"),IF(AND(G274&gt;=1,G274&lt;=3,COUNTIFS($A$2:A274,A274,$D$2:D274,D274,$E$2:E274,E274,$G$2:G274,G274)=1),1,0),0)</f>
        <v>0</v>
      </c>
    </row>
    <row r="275" customFormat="false" ht="15" hidden="false" customHeight="false" outlineLevel="0" collapsed="false">
      <c r="A275" s="12" t="s">
        <v>223</v>
      </c>
      <c r="B275" s="13" t="n">
        <v>46156</v>
      </c>
      <c r="C275" s="12" t="str">
        <f aca="false">IF(A275="","",IFERROR(INDEX(Events!$D$2:$D$67,MATCH(A275,Events!$A$2:$A$67,0)),"Unknown event ID"))</f>
        <v>Tour de Feminin</v>
      </c>
      <c r="D275" s="12" t="s">
        <v>372</v>
      </c>
      <c r="E275" s="12" t="s">
        <v>59</v>
      </c>
      <c r="F275" s="12" t="s">
        <v>85</v>
      </c>
      <c r="G275" s="12" t="n">
        <v>7</v>
      </c>
      <c r="H275" s="12" t="s">
        <v>366</v>
      </c>
      <c r="I275" s="12"/>
      <c r="J275" s="12" t="s">
        <v>87</v>
      </c>
      <c r="K275" s="12" t="str">
        <f aca="false">IF(A275="","",IFERROR(IF(INDEX(Events!$J$2:$J$67,MATCH(A275,Events!$A$2:$A$67,0))="Yes",IF(ISNUMBER(SEARCH("Criterium final",D275)),"No","Yes"),"No"),""))</f>
        <v>No</v>
      </c>
      <c r="L275" s="12"/>
      <c r="M275" s="12" t="n">
        <f aca="false">IF(OR(A275="",F275=""),0,IF(COUNTIFS($A$2:A275,A275,$F$2:F275,F275)=1,1,0))</f>
        <v>1</v>
      </c>
      <c r="N275" s="12" t="str">
        <f aca="false">IF(A275="","",IFERROR(INDEX(Events!$F$2:$F$67,MATCH(A275,Events!$A$2:$A$67,0)),""))</f>
        <v>CZE</v>
      </c>
      <c r="O275" s="12" t="n">
        <f aca="false">IF(AND(G275=1,K275="Yes",N275="POL"),IF(COUNTIFS($A$2:A275,A275,$D$2:D275,D275,$E$2:E275,E275,$G$2:G275,1)=1,1,0),0)</f>
        <v>0</v>
      </c>
      <c r="P275" s="12" t="n">
        <f aca="false">IF(AND(ISNUMBER(G275),K275="Yes",N275="POL"),IF(AND(G275&gt;=1,G275&lt;=3,COUNTIFS($A$2:A275,A275,$D$2:D275,D275,$E$2:E275,E275,$G$2:G275,G275)=1),1,0),0)</f>
        <v>0</v>
      </c>
    </row>
    <row r="276" customFormat="false" ht="15" hidden="false" customHeight="false" outlineLevel="0" collapsed="false">
      <c r="A276" s="12" t="s">
        <v>223</v>
      </c>
      <c r="B276" s="13" t="n">
        <v>46157</v>
      </c>
      <c r="C276" s="12" t="str">
        <f aca="false">IF(A276="","",IFERROR(INDEX(Events!$D$2:$D$67,MATCH(A276,Events!$A$2:$A$67,0)),"Unknown event ID"))</f>
        <v>Tour de Feminin</v>
      </c>
      <c r="D276" s="12" t="s">
        <v>373</v>
      </c>
      <c r="E276" s="12" t="s">
        <v>59</v>
      </c>
      <c r="F276" s="12" t="s">
        <v>85</v>
      </c>
      <c r="G276" s="12" t="n">
        <v>18</v>
      </c>
      <c r="H276" s="12" t="s">
        <v>366</v>
      </c>
      <c r="I276" s="12"/>
      <c r="J276" s="12" t="s">
        <v>87</v>
      </c>
      <c r="K276" s="12" t="str">
        <f aca="false">IF(A276="","",IFERROR(IF(INDEX(Events!$J$2:$J$67,MATCH(A276,Events!$A$2:$A$67,0))="Yes",IF(ISNUMBER(SEARCH("Criterium final",D276)),"No","Yes"),"No"),""))</f>
        <v>No</v>
      </c>
      <c r="L276" s="12"/>
      <c r="M276" s="12" t="n">
        <f aca="false">IF(OR(A276="",F276=""),0,IF(COUNTIFS($A$2:A276,A276,$F$2:F276,F276)=1,1,0))</f>
        <v>0</v>
      </c>
      <c r="N276" s="12" t="str">
        <f aca="false">IF(A276="","",IFERROR(INDEX(Events!$F$2:$F$67,MATCH(A276,Events!$A$2:$A$67,0)),""))</f>
        <v>CZE</v>
      </c>
      <c r="O276" s="12" t="n">
        <f aca="false">IF(AND(G276=1,K276="Yes",N276="POL"),IF(COUNTIFS($A$2:A276,A276,$D$2:D276,D276,$E$2:E276,E276,$G$2:G276,1)=1,1,0),0)</f>
        <v>0</v>
      </c>
      <c r="P276" s="12" t="n">
        <f aca="false">IF(AND(ISNUMBER(G276),K276="Yes",N276="POL"),IF(AND(G276&gt;=1,G276&lt;=3,COUNTIFS($A$2:A276,A276,$D$2:D276,D276,$E$2:E276,E276,$G$2:G276,G276)=1),1,0),0)</f>
        <v>0</v>
      </c>
    </row>
    <row r="277" customFormat="false" ht="15" hidden="false" customHeight="false" outlineLevel="0" collapsed="false">
      <c r="A277" s="12" t="s">
        <v>223</v>
      </c>
      <c r="B277" s="13" t="n">
        <v>46158</v>
      </c>
      <c r="C277" s="12" t="str">
        <f aca="false">IF(A277="","",IFERROR(INDEX(Events!$D$2:$D$67,MATCH(A277,Events!$A$2:$A$67,0)),"Unknown event ID"))</f>
        <v>Tour de Feminin</v>
      </c>
      <c r="D277" s="12" t="s">
        <v>374</v>
      </c>
      <c r="E277" s="12" t="s">
        <v>59</v>
      </c>
      <c r="F277" s="12" t="s">
        <v>85</v>
      </c>
      <c r="G277" s="12" t="n">
        <v>44</v>
      </c>
      <c r="H277" s="12" t="s">
        <v>366</v>
      </c>
      <c r="I277" s="12"/>
      <c r="J277" s="12" t="s">
        <v>87</v>
      </c>
      <c r="K277" s="12" t="str">
        <f aca="false">IF(A277="","",IFERROR(IF(INDEX(Events!$J$2:$J$67,MATCH(A277,Events!$A$2:$A$67,0))="Yes",IF(ISNUMBER(SEARCH("Criterium final",D277)),"No","Yes"),"No"),""))</f>
        <v>No</v>
      </c>
      <c r="L277" s="12"/>
      <c r="M277" s="12" t="n">
        <f aca="false">IF(OR(A277="",F277=""),0,IF(COUNTIFS($A$2:A277,A277,$F$2:F277,F277)=1,1,0))</f>
        <v>0</v>
      </c>
      <c r="N277" s="12" t="str">
        <f aca="false">IF(A277="","",IFERROR(INDEX(Events!$F$2:$F$67,MATCH(A277,Events!$A$2:$A$67,0)),""))</f>
        <v>CZE</v>
      </c>
      <c r="O277" s="12" t="n">
        <f aca="false">IF(AND(G277=1,K277="Yes",N277="POL"),IF(COUNTIFS($A$2:A277,A277,$D$2:D277,D277,$E$2:E277,E277,$G$2:G277,1)=1,1,0),0)</f>
        <v>0</v>
      </c>
      <c r="P277" s="12" t="n">
        <f aca="false">IF(AND(ISNUMBER(G277),K277="Yes",N277="POL"),IF(AND(G277&gt;=1,G277&lt;=3,COUNTIFS($A$2:A277,A277,$D$2:D277,D277,$E$2:E277,E277,$G$2:G277,G277)=1),1,0),0)</f>
        <v>0</v>
      </c>
    </row>
    <row r="278" customFormat="false" ht="15" hidden="false" customHeight="false" outlineLevel="0" collapsed="false">
      <c r="A278" s="12" t="s">
        <v>223</v>
      </c>
      <c r="B278" s="13" t="n">
        <v>46159</v>
      </c>
      <c r="C278" s="12" t="str">
        <f aca="false">IF(A278="","",IFERROR(INDEX(Events!$D$2:$D$67,MATCH(A278,Events!$A$2:$A$67,0)),"Unknown event ID"))</f>
        <v>Tour de Feminin</v>
      </c>
      <c r="D278" s="12" t="s">
        <v>375</v>
      </c>
      <c r="E278" s="12" t="s">
        <v>59</v>
      </c>
      <c r="F278" s="12" t="s">
        <v>85</v>
      </c>
      <c r="G278" s="12" t="n">
        <v>24</v>
      </c>
      <c r="H278" s="12" t="s">
        <v>366</v>
      </c>
      <c r="I278" s="12"/>
      <c r="J278" s="12" t="s">
        <v>87</v>
      </c>
      <c r="K278" s="12" t="str">
        <f aca="false">IF(A278="","",IFERROR(IF(INDEX(Events!$J$2:$J$67,MATCH(A278,Events!$A$2:$A$67,0))="Yes",IF(ISNUMBER(SEARCH("Criterium final",D278)),"No","Yes"),"No"),""))</f>
        <v>No</v>
      </c>
      <c r="L278" s="12"/>
      <c r="M278" s="12" t="n">
        <f aca="false">IF(OR(A278="",F278=""),0,IF(COUNTIFS($A$2:A278,A278,$F$2:F278,F278)=1,1,0))</f>
        <v>0</v>
      </c>
      <c r="N278" s="12" t="str">
        <f aca="false">IF(A278="","",IFERROR(INDEX(Events!$F$2:$F$67,MATCH(A278,Events!$A$2:$A$67,0)),""))</f>
        <v>CZE</v>
      </c>
      <c r="O278" s="12" t="n">
        <f aca="false">IF(AND(G278=1,K278="Yes",N278="POL"),IF(COUNTIFS($A$2:A278,A278,$D$2:D278,D278,$E$2:E278,E278,$G$2:G278,1)=1,1,0),0)</f>
        <v>0</v>
      </c>
      <c r="P278" s="12" t="n">
        <f aca="false">IF(AND(ISNUMBER(G278),K278="Yes",N278="POL"),IF(AND(G278&gt;=1,G278&lt;=3,COUNTIFS($A$2:A278,A278,$D$2:D278,D278,$E$2:E278,E278,$G$2:G278,G278)=1),1,0),0)</f>
        <v>0</v>
      </c>
    </row>
    <row r="279" customFormat="false" ht="15" hidden="false" customHeight="false" outlineLevel="0" collapsed="false">
      <c r="A279" s="12" t="s">
        <v>223</v>
      </c>
      <c r="B279" s="13" t="n">
        <v>46159</v>
      </c>
      <c r="C279" s="12" t="str">
        <f aca="false">IF(A279="","",IFERROR(INDEX(Events!$D$2:$D$67,MATCH(A279,Events!$A$2:$A$67,0)),"Unknown event ID"))</f>
        <v>Tour de Feminin</v>
      </c>
      <c r="D279" s="12" t="s">
        <v>376</v>
      </c>
      <c r="E279" s="12" t="s">
        <v>59</v>
      </c>
      <c r="F279" s="12" t="s">
        <v>85</v>
      </c>
      <c r="G279" s="12" t="n">
        <v>20</v>
      </c>
      <c r="H279" s="12" t="s">
        <v>366</v>
      </c>
      <c r="I279" s="12"/>
      <c r="J279" s="12" t="s">
        <v>87</v>
      </c>
      <c r="K279" s="12" t="str">
        <f aca="false">IF(A279="","",IFERROR(IF(INDEX(Events!$J$2:$J$67,MATCH(A279,Events!$A$2:$A$67,0))="Yes",IF(ISNUMBER(SEARCH("Criterium final",D279)),"No","Yes"),"No"),""))</f>
        <v>No</v>
      </c>
      <c r="L279" s="12"/>
      <c r="M279" s="12" t="n">
        <f aca="false">IF(OR(A279="",F279=""),0,IF(COUNTIFS($A$2:A279,A279,$F$2:F279,F279)=1,1,0))</f>
        <v>0</v>
      </c>
      <c r="N279" s="12" t="str">
        <f aca="false">IF(A279="","",IFERROR(INDEX(Events!$F$2:$F$67,MATCH(A279,Events!$A$2:$A$67,0)),""))</f>
        <v>CZE</v>
      </c>
      <c r="O279" s="12" t="n">
        <f aca="false">IF(AND(G279=1,K279="Yes",N279="POL"),IF(COUNTIFS($A$2:A279,A279,$D$2:D279,D279,$E$2:E279,E279,$G$2:G279,1)=1,1,0),0)</f>
        <v>0</v>
      </c>
      <c r="P279" s="12" t="n">
        <f aca="false">IF(AND(ISNUMBER(G279),K279="Yes",N279="POL"),IF(AND(G279&gt;=1,G279&lt;=3,COUNTIFS($A$2:A279,A279,$D$2:D279,D279,$E$2:E279,E279,$G$2:G279,G279)=1),1,0),0)</f>
        <v>0</v>
      </c>
    </row>
    <row r="280" customFormat="false" ht="15" hidden="false" customHeight="false" outlineLevel="0" collapsed="false">
      <c r="A280" s="12" t="s">
        <v>235</v>
      </c>
      <c r="B280" s="13" t="n">
        <v>46180</v>
      </c>
      <c r="C280" s="12" t="str">
        <f aca="false">IF(A280="","",IFERROR(INDEX(Events!$D$2:$D$67,MATCH(A280,Events!$A$2:$A$67,0)),"Unknown event ID"))</f>
        <v>Dwars door de Westhoek</v>
      </c>
      <c r="D280" s="12" t="s">
        <v>365</v>
      </c>
      <c r="E280" s="12" t="s">
        <v>59</v>
      </c>
      <c r="F280" s="12" t="s">
        <v>85</v>
      </c>
      <c r="G280" s="12" t="n">
        <v>39</v>
      </c>
      <c r="H280" s="12" t="s">
        <v>366</v>
      </c>
      <c r="I280" s="12"/>
      <c r="J280" s="12" t="s">
        <v>87</v>
      </c>
      <c r="K280" s="12" t="str">
        <f aca="false">IF(A280="","",IFERROR(IF(INDEX(Events!$J$2:$J$67,MATCH(A280,Events!$A$2:$A$67,0))="Yes",IF(ISNUMBER(SEARCH("Criterium final",D280)),"No","Yes"),"No"),""))</f>
        <v>No</v>
      </c>
      <c r="L280" s="12"/>
      <c r="M280" s="12" t="n">
        <f aca="false">IF(OR(A280="",F280=""),0,IF(COUNTIFS($A$2:A280,A280,$F$2:F280,F280)=1,1,0))</f>
        <v>1</v>
      </c>
      <c r="N280" s="12" t="str">
        <f aca="false">IF(A280="","",IFERROR(INDEX(Events!$F$2:$F$67,MATCH(A280,Events!$A$2:$A$67,0)),""))</f>
        <v>BEL</v>
      </c>
      <c r="O280" s="12" t="n">
        <f aca="false">IF(AND(G280=1,K280="Yes",N280="POL"),IF(COUNTIFS($A$2:A280,A280,$D$2:D280,D280,$E$2:E280,E280,$G$2:G280,1)=1,1,0),0)</f>
        <v>0</v>
      </c>
      <c r="P280" s="12" t="n">
        <f aca="false">IF(AND(ISNUMBER(G280),K280="Yes",N280="POL"),IF(AND(G280&gt;=1,G280&lt;=3,COUNTIFS($A$2:A280,A280,$D$2:D280,D280,$E$2:E280,E280,$G$2:G280,G280)=1),1,0),0)</f>
        <v>0</v>
      </c>
    </row>
    <row r="281" customFormat="false" ht="15" hidden="false" customHeight="false" outlineLevel="0" collapsed="false">
      <c r="A281" s="12" t="s">
        <v>246</v>
      </c>
      <c r="B281" s="13" t="n">
        <v>46198</v>
      </c>
      <c r="C281" s="12" t="str">
        <f aca="false">IF(A281="","",IFERROR(INDEX(Events!$D$2:$D$67,MATCH(A281,Events!$A$2:$A$67,0)),"Unknown event ID"))</f>
        <v>Polish Road Championships (ITT + road race)</v>
      </c>
      <c r="D281" s="12" t="s">
        <v>387</v>
      </c>
      <c r="E281" s="12" t="s">
        <v>66</v>
      </c>
      <c r="F281" s="12" t="s">
        <v>85</v>
      </c>
      <c r="G281" s="12" t="n">
        <v>3</v>
      </c>
      <c r="H281" s="12" t="s">
        <v>366</v>
      </c>
      <c r="I281" s="12"/>
      <c r="J281" s="12" t="s">
        <v>87</v>
      </c>
      <c r="K281" s="12" t="str">
        <f aca="false">IF(A281="","",IFERROR(IF(INDEX(Events!$J$2:$J$67,MATCH(A281,Events!$A$2:$A$67,0))="Yes",IF(ISNUMBER(SEARCH("Criterium final",D281)),"No","Yes"),"No"),""))</f>
        <v>Yes</v>
      </c>
      <c r="L281" s="12"/>
      <c r="M281" s="12" t="n">
        <f aca="false">IF(OR(A281="",F281=""),0,IF(COUNTIFS($A$2:A281,A281,$F$2:F281,F281)=1,1,0))</f>
        <v>1</v>
      </c>
      <c r="N281" s="12" t="str">
        <f aca="false">IF(A281="","",IFERROR(INDEX(Events!$F$2:$F$67,MATCH(A281,Events!$A$2:$A$67,0)),""))</f>
        <v>POL</v>
      </c>
      <c r="O281" s="12" t="n">
        <f aca="false">IF(AND(G281=1,K281="Yes",N281="POL"),IF(COUNTIFS($A$2:A281,A281,$D$2:D281,D281,$E$2:E281,E281,$G$2:G281,1)=1,1,0),0)</f>
        <v>0</v>
      </c>
      <c r="P281" s="12" t="n">
        <f aca="false">IF(AND(ISNUMBER(G281),K281="Yes",N281="POL"),IF(AND(G281&gt;=1,G281&lt;=3,COUNTIFS($A$2:A281,A281,$D$2:D281,D281,$E$2:E281,E281,$G$2:G281,G281)=1),1,0),0)</f>
        <v>1</v>
      </c>
    </row>
    <row r="282" customFormat="false" ht="15" hidden="false" customHeight="false" outlineLevel="0" collapsed="false">
      <c r="A282" s="12" t="s">
        <v>246</v>
      </c>
      <c r="B282" s="13" t="n">
        <v>46200</v>
      </c>
      <c r="C282" s="12" t="str">
        <f aca="false">IF(A282="","",IFERROR(INDEX(Events!$D$2:$D$67,MATCH(A282,Events!$A$2:$A$67,0)),"Unknown event ID"))</f>
        <v>Polish Road Championships (ITT + road race)</v>
      </c>
      <c r="D282" s="12" t="s">
        <v>367</v>
      </c>
      <c r="E282" s="12" t="s">
        <v>59</v>
      </c>
      <c r="F282" s="12" t="s">
        <v>85</v>
      </c>
      <c r="G282" s="12" t="n">
        <v>26</v>
      </c>
      <c r="H282" s="12" t="s">
        <v>366</v>
      </c>
      <c r="I282" s="12"/>
      <c r="J282" s="12" t="s">
        <v>87</v>
      </c>
      <c r="K282" s="12" t="str">
        <f aca="false">IF(A282="","",IFERROR(IF(INDEX(Events!$J$2:$J$67,MATCH(A282,Events!$A$2:$A$67,0))="Yes",IF(ISNUMBER(SEARCH("Criterium final",D282)),"No","Yes"),"No"),""))</f>
        <v>Yes</v>
      </c>
      <c r="L282" s="12"/>
      <c r="M282" s="12" t="n">
        <f aca="false">IF(OR(A282="",F282=""),0,IF(COUNTIFS($A$2:A282,A282,$F$2:F282,F282)=1,1,0))</f>
        <v>0</v>
      </c>
      <c r="N282" s="12" t="str">
        <f aca="false">IF(A282="","",IFERROR(INDEX(Events!$F$2:$F$67,MATCH(A282,Events!$A$2:$A$67,0)),""))</f>
        <v>POL</v>
      </c>
      <c r="O282" s="12" t="n">
        <f aca="false">IF(AND(G282=1,K282="Yes",N282="POL"),IF(COUNTIFS($A$2:A282,A282,$D$2:D282,D282,$E$2:E282,E282,$G$2:G282,1)=1,1,0),0)</f>
        <v>0</v>
      </c>
      <c r="P282" s="12" t="n">
        <f aca="false">IF(AND(ISNUMBER(G282),K282="Yes",N282="POL"),IF(AND(G282&gt;=1,G282&lt;=3,COUNTIFS($A$2:A282,A282,$D$2:D282,D282,$E$2:E282,E282,$G$2:G282,G282)=1),1,0),0)</f>
        <v>0</v>
      </c>
    </row>
    <row r="283" customFormat="false" ht="15" hidden="false" customHeight="false" outlineLevel="0" collapsed="false">
      <c r="A283" s="12" t="s">
        <v>252</v>
      </c>
      <c r="B283" s="13" t="n">
        <v>46214</v>
      </c>
      <c r="C283" s="12" t="str">
        <f aca="false">IF(A283="","",IFERROR(INDEX(Events!$D$2:$D$67,MATCH(A283,Events!$A$2:$A$67,0)),"Unknown event ID"))</f>
        <v>Respect Ladies Race Slovakia</v>
      </c>
      <c r="D283" s="12" t="s">
        <v>365</v>
      </c>
      <c r="E283" s="12" t="s">
        <v>59</v>
      </c>
      <c r="F283" s="12" t="s">
        <v>85</v>
      </c>
      <c r="G283" s="12" t="n">
        <v>24</v>
      </c>
      <c r="H283" s="12" t="s">
        <v>366</v>
      </c>
      <c r="I283" s="12"/>
      <c r="J283" s="12" t="s">
        <v>87</v>
      </c>
      <c r="K283" s="12" t="str">
        <f aca="false">IF(A283="","",IFERROR(IF(INDEX(Events!$J$2:$J$67,MATCH(A283,Events!$A$2:$A$67,0))="Yes",IF(ISNUMBER(SEARCH("Criterium final",D283)),"No","Yes"),"No"),""))</f>
        <v>No</v>
      </c>
      <c r="L283" s="12"/>
      <c r="M283" s="12" t="n">
        <f aca="false">IF(OR(A283="",F283=""),0,IF(COUNTIFS($A$2:A283,A283,$F$2:F283,F283)=1,1,0))</f>
        <v>1</v>
      </c>
      <c r="N283" s="12" t="str">
        <f aca="false">IF(A283="","",IFERROR(INDEX(Events!$F$2:$F$67,MATCH(A283,Events!$A$2:$A$67,0)),""))</f>
        <v>SVK</v>
      </c>
      <c r="O283" s="12" t="n">
        <f aca="false">IF(AND(G283=1,K283="Yes",N283="POL"),IF(COUNTIFS($A$2:A283,A283,$D$2:D283,D283,$E$2:E283,E283,$G$2:G283,1)=1,1,0),0)</f>
        <v>0</v>
      </c>
      <c r="P283" s="12" t="n">
        <f aca="false">IF(AND(ISNUMBER(G283),K283="Yes",N283="POL"),IF(AND(G283&gt;=1,G283&lt;=3,COUNTIFS($A$2:A283,A283,$D$2:D283,D283,$E$2:E283,E283,$G$2:G283,G283)=1),1,0),0)</f>
        <v>0</v>
      </c>
    </row>
    <row r="284" customFormat="false" ht="15" hidden="false" customHeight="false" outlineLevel="0" collapsed="false">
      <c r="A284" s="12" t="s">
        <v>255</v>
      </c>
      <c r="B284" s="13" t="n">
        <v>46227</v>
      </c>
      <c r="C284" s="12" t="str">
        <f aca="false">IF(A284="","",IFERROR(INDEX(Events!$D$2:$D$67,MATCH(A284,Events!$A$2:$A$67,0)),"Unknown event ID"))</f>
        <v>Tour de Pologne Women</v>
      </c>
      <c r="D284" s="12" t="s">
        <v>377</v>
      </c>
      <c r="E284" s="12" t="s">
        <v>59</v>
      </c>
      <c r="F284" s="12" t="s">
        <v>85</v>
      </c>
      <c r="G284" s="12" t="n">
        <v>17</v>
      </c>
      <c r="H284" s="12" t="s">
        <v>366</v>
      </c>
      <c r="I284" s="12"/>
      <c r="J284" s="12" t="s">
        <v>87</v>
      </c>
      <c r="K284" s="12" t="str">
        <f aca="false">IF(A284="","",IFERROR(IF(INDEX(Events!$J$2:$J$67,MATCH(A284,Events!$A$2:$A$67,0))="Yes",IF(ISNUMBER(SEARCH("Criterium final",D284)),"No","Yes"),"No"),""))</f>
        <v>No</v>
      </c>
      <c r="L284" s="12"/>
      <c r="M284" s="12" t="n">
        <f aca="false">IF(OR(A284="",F284=""),0,IF(COUNTIFS($A$2:A284,A284,$F$2:F284,F284)=1,1,0))</f>
        <v>1</v>
      </c>
      <c r="N284" s="12" t="str">
        <f aca="false">IF(A284="","",IFERROR(INDEX(Events!$F$2:$F$67,MATCH(A284,Events!$A$2:$A$67,0)),""))</f>
        <v>POL</v>
      </c>
      <c r="O284" s="12" t="n">
        <f aca="false">IF(AND(G284=1,K284="Yes",N284="POL"),IF(COUNTIFS($A$2:A284,A284,$D$2:D284,D284,$E$2:E284,E284,$G$2:G284,1)=1,1,0),0)</f>
        <v>0</v>
      </c>
      <c r="P284" s="12" t="n">
        <f aca="false">IF(AND(ISNUMBER(G284),K284="Yes",N284="POL"),IF(AND(G284&gt;=1,G284&lt;=3,COUNTIFS($A$2:A284,A284,$D$2:D284,D284,$E$2:E284,E284,$G$2:G284,G284)=1),1,0),0)</f>
        <v>0</v>
      </c>
    </row>
    <row r="285" customFormat="false" ht="15" hidden="false" customHeight="false" outlineLevel="0" collapsed="false">
      <c r="A285" s="12" t="s">
        <v>255</v>
      </c>
      <c r="B285" s="13" t="n">
        <v>46228</v>
      </c>
      <c r="C285" s="12" t="str">
        <f aca="false">IF(A285="","",IFERROR(INDEX(Events!$D$2:$D$67,MATCH(A285,Events!$A$2:$A$67,0)),"Unknown event ID"))</f>
        <v>Tour de Pologne Women</v>
      </c>
      <c r="D285" s="12" t="s">
        <v>373</v>
      </c>
      <c r="E285" s="12" t="s">
        <v>59</v>
      </c>
      <c r="F285" s="12" t="s">
        <v>85</v>
      </c>
      <c r="G285" s="12" t="n">
        <v>78</v>
      </c>
      <c r="H285" s="12" t="s">
        <v>366</v>
      </c>
      <c r="I285" s="12"/>
      <c r="J285" s="12" t="s">
        <v>87</v>
      </c>
      <c r="K285" s="12" t="str">
        <f aca="false">IF(A285="","",IFERROR(IF(INDEX(Events!$J$2:$J$67,MATCH(A285,Events!$A$2:$A$67,0))="Yes",IF(ISNUMBER(SEARCH("Criterium final",D285)),"No","Yes"),"No"),""))</f>
        <v>No</v>
      </c>
      <c r="L285" s="12"/>
      <c r="M285" s="12" t="n">
        <f aca="false">IF(OR(A285="",F285=""),0,IF(COUNTIFS($A$2:A285,A285,$F$2:F285,F285)=1,1,0))</f>
        <v>0</v>
      </c>
      <c r="N285" s="12" t="str">
        <f aca="false">IF(A285="","",IFERROR(INDEX(Events!$F$2:$F$67,MATCH(A285,Events!$A$2:$A$67,0)),""))</f>
        <v>POL</v>
      </c>
      <c r="O285" s="12" t="n">
        <f aca="false">IF(AND(G285=1,K285="Yes",N285="POL"),IF(COUNTIFS($A$2:A285,A285,$D$2:D285,D285,$E$2:E285,E285,$G$2:G285,1)=1,1,0),0)</f>
        <v>0</v>
      </c>
      <c r="P285" s="12" t="n">
        <f aca="false">IF(AND(ISNUMBER(G285),K285="Yes",N285="POL"),IF(AND(G285&gt;=1,G285&lt;=3,COUNTIFS($A$2:A285,A285,$D$2:D285,D285,$E$2:E285,E285,$G$2:G285,G285)=1),1,0),0)</f>
        <v>0</v>
      </c>
    </row>
    <row r="286" customFormat="false" ht="15" hidden="false" customHeight="false" outlineLevel="0" collapsed="false">
      <c r="A286" s="12" t="s">
        <v>255</v>
      </c>
      <c r="B286" s="13" t="n">
        <v>46229</v>
      </c>
      <c r="C286" s="12" t="str">
        <f aca="false">IF(A286="","",IFERROR(INDEX(Events!$D$2:$D$67,MATCH(A286,Events!$A$2:$A$67,0)),"Unknown event ID"))</f>
        <v>Tour de Pologne Women</v>
      </c>
      <c r="D286" s="12" t="s">
        <v>374</v>
      </c>
      <c r="E286" s="12" t="s">
        <v>59</v>
      </c>
      <c r="F286" s="12" t="s">
        <v>85</v>
      </c>
      <c r="G286" s="12" t="n">
        <v>49</v>
      </c>
      <c r="H286" s="12" t="s">
        <v>366</v>
      </c>
      <c r="I286" s="12"/>
      <c r="J286" s="12" t="s">
        <v>87</v>
      </c>
      <c r="K286" s="12" t="str">
        <f aca="false">IF(A286="","",IFERROR(IF(INDEX(Events!$J$2:$J$67,MATCH(A286,Events!$A$2:$A$67,0))="Yes",IF(ISNUMBER(SEARCH("Criterium final",D286)),"No","Yes"),"No"),""))</f>
        <v>No</v>
      </c>
      <c r="L286" s="12"/>
      <c r="M286" s="12" t="n">
        <f aca="false">IF(OR(A286="",F286=""),0,IF(COUNTIFS($A$2:A286,A286,$F$2:F286,F286)=1,1,0))</f>
        <v>0</v>
      </c>
      <c r="N286" s="12" t="str">
        <f aca="false">IF(A286="","",IFERROR(INDEX(Events!$F$2:$F$67,MATCH(A286,Events!$A$2:$A$67,0)),""))</f>
        <v>POL</v>
      </c>
      <c r="O286" s="12" t="n">
        <f aca="false">IF(AND(G286=1,K286="Yes",N286="POL"),IF(COUNTIFS($A$2:A286,A286,$D$2:D286,D286,$E$2:E286,E286,$G$2:G286,1)=1,1,0),0)</f>
        <v>0</v>
      </c>
      <c r="P286" s="12" t="n">
        <f aca="false">IF(AND(ISNUMBER(G286),K286="Yes",N286="POL"),IF(AND(G286&gt;=1,G286&lt;=3,COUNTIFS($A$2:A286,A286,$D$2:D286,D286,$E$2:E286,E286,$G$2:G286,G286)=1),1,0),0)</f>
        <v>0</v>
      </c>
    </row>
    <row r="287" customFormat="false" ht="15" hidden="false" customHeight="false" outlineLevel="0" collapsed="false">
      <c r="A287" s="12" t="s">
        <v>255</v>
      </c>
      <c r="B287" s="13" t="n">
        <v>46229</v>
      </c>
      <c r="C287" s="12" t="str">
        <f aca="false">IF(A287="","",IFERROR(INDEX(Events!$D$2:$D$67,MATCH(A287,Events!$A$2:$A$67,0)),"Unknown event ID"))</f>
        <v>Tour de Pologne Women</v>
      </c>
      <c r="D287" s="12" t="s">
        <v>376</v>
      </c>
      <c r="E287" s="12" t="s">
        <v>59</v>
      </c>
      <c r="F287" s="12" t="s">
        <v>85</v>
      </c>
      <c r="G287" s="12" t="n">
        <v>41</v>
      </c>
      <c r="H287" s="12" t="s">
        <v>366</v>
      </c>
      <c r="I287" s="12"/>
      <c r="J287" s="12" t="s">
        <v>87</v>
      </c>
      <c r="K287" s="12" t="str">
        <f aca="false">IF(A287="","",IFERROR(IF(INDEX(Events!$J$2:$J$67,MATCH(A287,Events!$A$2:$A$67,0))="Yes",IF(ISNUMBER(SEARCH("Criterium final",D287)),"No","Yes"),"No"),""))</f>
        <v>No</v>
      </c>
      <c r="L287" s="12"/>
      <c r="M287" s="12" t="n">
        <f aca="false">IF(OR(A287="",F287=""),0,IF(COUNTIFS($A$2:A287,A287,$F$2:F287,F287)=1,1,0))</f>
        <v>0</v>
      </c>
      <c r="N287" s="12" t="str">
        <f aca="false">IF(A287="","",IFERROR(INDEX(Events!$F$2:$F$67,MATCH(A287,Events!$A$2:$A$67,0)),""))</f>
        <v>POL</v>
      </c>
      <c r="O287" s="12" t="n">
        <f aca="false">IF(AND(G287=1,K287="Yes",N287="POL"),IF(COUNTIFS($A$2:A287,A287,$D$2:D287,D287,$E$2:E287,E287,$G$2:G287,1)=1,1,0),0)</f>
        <v>0</v>
      </c>
      <c r="P287" s="12" t="n">
        <f aca="false">IF(AND(ISNUMBER(G287),K287="Yes",N287="POL"),IF(AND(G287&gt;=1,G287&lt;=3,COUNTIFS($A$2:A287,A287,$D$2:D287,D287,$E$2:E287,E287,$G$2:G287,G287)=1),1,0),0)</f>
        <v>0</v>
      </c>
    </row>
    <row r="288" customFormat="false" ht="15" hidden="false" customHeight="false" outlineLevel="0" collapsed="false">
      <c r="A288" s="12" t="s">
        <v>270</v>
      </c>
      <c r="B288" s="13" t="n">
        <v>46235</v>
      </c>
      <c r="C288" s="12" t="str">
        <f aca="false">IF(A288="","",IFERROR(INDEX(Events!$D$2:$D$67,MATCH(A288,Events!$A$2:$A$67,0)),"Unknown event ID"))</f>
        <v>Polish Elite Track Championships</v>
      </c>
      <c r="D288" s="12" t="s">
        <v>369</v>
      </c>
      <c r="E288" s="12" t="s">
        <v>59</v>
      </c>
      <c r="F288" s="12" t="s">
        <v>85</v>
      </c>
      <c r="G288" s="12" t="n">
        <v>2</v>
      </c>
      <c r="H288" s="12" t="s">
        <v>366</v>
      </c>
      <c r="I288" s="12" t="s">
        <v>388</v>
      </c>
      <c r="J288" s="12" t="s">
        <v>379</v>
      </c>
      <c r="K288" s="12" t="str">
        <f aca="false">IF(A288="","",IFERROR(IF(INDEX(Events!$J$2:$J$67,MATCH(A288,Events!$A$2:$A$67,0))="Yes",IF(ISNUMBER(SEARCH("Criterium final",D288)),"No","Yes"),"No"),""))</f>
        <v>Yes</v>
      </c>
      <c r="L288" s="12"/>
      <c r="M288" s="12" t="n">
        <f aca="false">IF(OR(A288="",F288=""),0,IF(COUNTIFS($A$2:A288,A288,$F$2:F288,F288)=1,1,0))</f>
        <v>1</v>
      </c>
      <c r="N288" s="12" t="str">
        <f aca="false">IF(A288="","",IFERROR(INDEX(Events!$F$2:$F$67,MATCH(A288,Events!$A$2:$A$67,0)),""))</f>
        <v>POL</v>
      </c>
      <c r="O288" s="12" t="n">
        <f aca="false">IF(AND(G288=1,K288="Yes",N288="POL"),IF(COUNTIFS($A$2:A288,A288,$D$2:D288,D288,$E$2:E288,E288,$G$2:G288,1)=1,1,0),0)</f>
        <v>0</v>
      </c>
      <c r="P288" s="12" t="n">
        <f aca="false">IF(AND(ISNUMBER(G288),K288="Yes",N288="POL"),IF(AND(G288&gt;=1,G288&lt;=3,COUNTIFS($A$2:A288,A288,$D$2:D288,D288,$E$2:E288,E288,$G$2:G288,G288)=1),1,0),0)</f>
        <v>0</v>
      </c>
    </row>
    <row r="289" customFormat="false" ht="15" hidden="false" customHeight="false" outlineLevel="0" collapsed="false">
      <c r="A289" s="12" t="s">
        <v>282</v>
      </c>
      <c r="B289" s="13" t="n">
        <v>46248</v>
      </c>
      <c r="C289" s="12" t="str">
        <f aca="false">IF(A289="","",IFERROR(INDEX(Events!$D$2:$D$67,MATCH(A289,Events!$A$2:$A$67,0)),"Unknown event ID"))</f>
        <v>Górskie Szosowe Mistrzostwa Polski (mountain road champs)</v>
      </c>
      <c r="D289" s="12" t="s">
        <v>423</v>
      </c>
      <c r="E289" s="12" t="s">
        <v>66</v>
      </c>
      <c r="F289" s="12" t="s">
        <v>85</v>
      </c>
      <c r="G289" s="12" t="n">
        <v>2</v>
      </c>
      <c r="H289" s="12" t="s">
        <v>366</v>
      </c>
      <c r="I289" s="12" t="s">
        <v>424</v>
      </c>
      <c r="J289" s="12" t="s">
        <v>418</v>
      </c>
      <c r="K289" s="12" t="str">
        <f aca="false">IF(A289="","",IFERROR(IF(INDEX(Events!$J$2:$J$67,MATCH(A289,Events!$A$2:$A$67,0))="Yes",IF(ISNUMBER(SEARCH("Criterium final",D289)),"No","Yes"),"No"),""))</f>
        <v>Yes</v>
      </c>
      <c r="L289" s="12"/>
      <c r="M289" s="12" t="n">
        <f aca="false">IF(OR(A289="",F289=""),0,IF(COUNTIFS($A$2:A289,A289,$F$2:F289,F289)=1,1,0))</f>
        <v>1</v>
      </c>
      <c r="N289" s="12" t="str">
        <f aca="false">IF(A289="","",IFERROR(INDEX(Events!$F$2:$F$67,MATCH(A289,Events!$A$2:$A$67,0)),""))</f>
        <v>POL</v>
      </c>
      <c r="O289" s="12" t="n">
        <f aca="false">IF(AND(G289=1,K289="Yes",N289="POL"),IF(COUNTIFS($A$2:A289,A289,$D$2:D289,D289,$E$2:E289,E289,$G$2:G289,1)=1,1,0),0)</f>
        <v>0</v>
      </c>
      <c r="P289" s="12" t="n">
        <f aca="false">IF(AND(ISNUMBER(G289),K289="Yes",N289="POL"),IF(AND(G289&gt;=1,G289&lt;=3,COUNTIFS($A$2:A289,A289,$D$2:D289,D289,$E$2:E289,E289,$G$2:G289,G289)=1),1,0),0)</f>
        <v>1</v>
      </c>
    </row>
    <row r="290" customFormat="false" ht="15" hidden="false" customHeight="false" outlineLevel="0" collapsed="false">
      <c r="A290" s="12" t="s">
        <v>285</v>
      </c>
      <c r="B290" s="13" t="n">
        <v>46271</v>
      </c>
      <c r="C290" s="12" t="str">
        <f aca="false">IF(A290="","",IFERROR(INDEX(Events!$D$2:$D$67,MATCH(A290,Events!$A$2:$A$67,0)),"Unknown event ID"))</f>
        <v>55. Ogólnopolskie Kryterium Kolarskie</v>
      </c>
      <c r="D290" s="12" t="s">
        <v>433</v>
      </c>
      <c r="E290" s="12" t="s">
        <v>59</v>
      </c>
      <c r="F290" s="12" t="s">
        <v>85</v>
      </c>
      <c r="G290" s="12" t="n">
        <v>2</v>
      </c>
      <c r="H290" s="12" t="s">
        <v>366</v>
      </c>
      <c r="I290" s="12"/>
      <c r="J290" s="12" t="s">
        <v>461</v>
      </c>
      <c r="K290" s="12" t="str">
        <f aca="false">IF(A290="","",IFERROR(IF(INDEX(Events!$J$2:$J$67,MATCH(A290,Events!$A$2:$A$67,0))="Yes",IF(ISNUMBER(SEARCH("Criterium final",D290)),"No","Yes"),"No"),""))</f>
        <v>No</v>
      </c>
      <c r="L290" s="12"/>
      <c r="M290" s="12" t="n">
        <f aca="false">IF(OR(A290="",F290=""),0,IF(COUNTIFS($A$2:A290,A290,$F$2:F290,F290)=1,1,0))</f>
        <v>1</v>
      </c>
      <c r="N290" s="12" t="str">
        <f aca="false">IF(A290="","",IFERROR(INDEX(Events!$F$2:$F$67,MATCH(A290,Events!$A$2:$A$67,0)),""))</f>
        <v>POL</v>
      </c>
      <c r="O290" s="12" t="n">
        <f aca="false">IF(AND(G290=1,K290="Yes",N290="POL"),IF(COUNTIFS($A$2:A290,A290,$D$2:D290,D290,$E$2:E290,E290,$G$2:G290,1)=1,1,0),0)</f>
        <v>0</v>
      </c>
      <c r="P290" s="12" t="n">
        <f aca="false">IF(AND(ISNUMBER(G290),K290="Yes",N290="POL"),IF(AND(G290&gt;=1,G290&lt;=3,COUNTIFS($A$2:A290,A290,$D$2:D290,D290,$E$2:E290,E290,$G$2:G290,G290)=1),1,0),0)</f>
        <v>0</v>
      </c>
    </row>
    <row r="291" customFormat="false" ht="15" hidden="false" customHeight="false" outlineLevel="0" collapsed="false">
      <c r="A291" s="12" t="s">
        <v>285</v>
      </c>
      <c r="B291" s="13" t="n">
        <v>46271</v>
      </c>
      <c r="C291" s="12" t="str">
        <f aca="false">IF(A291="","",IFERROR(INDEX(Events!$D$2:$D$67,MATCH(A291,Events!$A$2:$A$67,0)),"Unknown event ID"))</f>
        <v>55. Ogólnopolskie Kryterium Kolarskie</v>
      </c>
      <c r="D291" s="12" t="s">
        <v>433</v>
      </c>
      <c r="E291" s="12" t="s">
        <v>66</v>
      </c>
      <c r="F291" s="12" t="s">
        <v>85</v>
      </c>
      <c r="G291" s="12" t="n">
        <v>1</v>
      </c>
      <c r="H291" s="12" t="s">
        <v>366</v>
      </c>
      <c r="I291" s="12"/>
      <c r="J291" s="12" t="s">
        <v>461</v>
      </c>
      <c r="K291" s="12" t="str">
        <f aca="false">IF(A291="","",IFERROR(IF(INDEX(Events!$J$2:$J$67,MATCH(A291,Events!$A$2:$A$67,0))="Yes",IF(ISNUMBER(SEARCH("Criterium final",D291)),"No","Yes"),"No"),""))</f>
        <v>No</v>
      </c>
      <c r="L291" s="12"/>
      <c r="M291" s="12" t="n">
        <f aca="false">IF(OR(A291="",F291=""),0,IF(COUNTIFS($A$2:A291,A291,$F$2:F291,F291)=1,1,0))</f>
        <v>0</v>
      </c>
      <c r="N291" s="12" t="str">
        <f aca="false">IF(A291="","",IFERROR(INDEX(Events!$F$2:$F$67,MATCH(A291,Events!$A$2:$A$67,0)),""))</f>
        <v>POL</v>
      </c>
      <c r="O291" s="12" t="n">
        <f aca="false">IF(AND(G291=1,K291="Yes",N291="POL"),IF(COUNTIFS($A$2:A291,A291,$D$2:D291,D291,$E$2:E291,E291,$G$2:G291,1)=1,1,0),0)</f>
        <v>0</v>
      </c>
      <c r="P291" s="12" t="n">
        <f aca="false">IF(AND(ISNUMBER(G291),K291="Yes",N291="POL"),IF(AND(G291&gt;=1,G291&lt;=3,COUNTIFS($A$2:A291,A291,$D$2:D291,D291,$E$2:E291,E291,$G$2:G291,G291)=1),1,0),0)</f>
        <v>0</v>
      </c>
    </row>
    <row r="292" customFormat="false" ht="15" hidden="false" customHeight="false" outlineLevel="0" collapsed="false">
      <c r="A292" s="12" t="s">
        <v>289</v>
      </c>
      <c r="B292" s="13" t="n">
        <v>46277</v>
      </c>
      <c r="C292" s="12" t="str">
        <f aca="false">IF(A292="","",IFERROR(INDEX(Events!$D$2:$D$67,MATCH(A292,Events!$A$2:$A$67,0)),"Unknown event ID"))</f>
        <v>Polish Pairs &amp; Team Time Trial Championships</v>
      </c>
      <c r="D292" s="12" t="s">
        <v>405</v>
      </c>
      <c r="E292" s="12" t="s">
        <v>59</v>
      </c>
      <c r="F292" s="12" t="s">
        <v>85</v>
      </c>
      <c r="G292" s="12" t="n">
        <v>2</v>
      </c>
      <c r="H292" s="12" t="s">
        <v>366</v>
      </c>
      <c r="I292" s="12" t="s">
        <v>462</v>
      </c>
      <c r="J292" s="12" t="s">
        <v>406</v>
      </c>
      <c r="K292" s="12" t="str">
        <f aca="false">IF(A292="","",IFERROR(IF(INDEX(Events!$J$2:$J$67,MATCH(A292,Events!$A$2:$A$67,0))="Yes",IF(ISNUMBER(SEARCH("Criterium final",D292)),"No","Yes"),"No"),""))</f>
        <v>Yes</v>
      </c>
      <c r="L292" s="12"/>
      <c r="M292" s="12" t="n">
        <f aca="false">IF(OR(A292="",F292=""),0,IF(COUNTIFS($A$2:A292,A292,$F$2:F292,F292)=1,1,0))</f>
        <v>1</v>
      </c>
      <c r="N292" s="12" t="str">
        <f aca="false">IF(A292="","",IFERROR(INDEX(Events!$F$2:$F$67,MATCH(A292,Events!$A$2:$A$67,0)),""))</f>
        <v>POL</v>
      </c>
      <c r="O292" s="12" t="n">
        <f aca="false">IF(AND(G292=1,K292="Yes",N292="POL"),IF(COUNTIFS($A$2:A292,A292,$D$2:D292,D292,$E$2:E292,E292,$G$2:G292,1)=1,1,0),0)</f>
        <v>0</v>
      </c>
      <c r="P292" s="12" t="n">
        <f aca="false">IF(AND(ISNUMBER(G292),K292="Yes",N292="POL"),IF(AND(G292&gt;=1,G292&lt;=3,COUNTIFS($A$2:A292,A292,$D$2:D292,D292,$E$2:E292,E292,$G$2:G292,G292)=1),1,0),0)</f>
        <v>1</v>
      </c>
    </row>
    <row r="293" customFormat="false" ht="15" hidden="false" customHeight="false" outlineLevel="0" collapsed="false">
      <c r="A293" s="12" t="s">
        <v>289</v>
      </c>
      <c r="B293" s="13" t="n">
        <v>46277</v>
      </c>
      <c r="C293" s="12" t="str">
        <f aca="false">IF(A293="","",IFERROR(INDEX(Events!$D$2:$D$67,MATCH(A293,Events!$A$2:$A$67,0)),"Unknown event ID"))</f>
        <v>Polish Pairs &amp; Team Time Trial Championships</v>
      </c>
      <c r="D293" s="12" t="s">
        <v>405</v>
      </c>
      <c r="E293" s="12" t="s">
        <v>66</v>
      </c>
      <c r="F293" s="12" t="s">
        <v>85</v>
      </c>
      <c r="G293" s="12" t="n">
        <v>2</v>
      </c>
      <c r="H293" s="12" t="s">
        <v>366</v>
      </c>
      <c r="I293" s="12" t="s">
        <v>462</v>
      </c>
      <c r="J293" s="12" t="s">
        <v>406</v>
      </c>
      <c r="K293" s="12" t="str">
        <f aca="false">IF(A293="","",IFERROR(IF(INDEX(Events!$J$2:$J$67,MATCH(A293,Events!$A$2:$A$67,0))="Yes",IF(ISNUMBER(SEARCH("Criterium final",D293)),"No","Yes"),"No"),""))</f>
        <v>Yes</v>
      </c>
      <c r="L293" s="12"/>
      <c r="M293" s="12" t="n">
        <f aca="false">IF(OR(A293="",F293=""),0,IF(COUNTIFS($A$2:A293,A293,$F$2:F293,F293)=1,1,0))</f>
        <v>0</v>
      </c>
      <c r="N293" s="12" t="str">
        <f aca="false">IF(A293="","",IFERROR(INDEX(Events!$F$2:$F$67,MATCH(A293,Events!$A$2:$A$67,0)),""))</f>
        <v>POL</v>
      </c>
      <c r="O293" s="12" t="n">
        <f aca="false">IF(AND(G293=1,K293="Yes",N293="POL"),IF(COUNTIFS($A$2:A293,A293,$D$2:D293,D293,$E$2:E293,E293,$G$2:G293,1)=1,1,0),0)</f>
        <v>0</v>
      </c>
      <c r="P293" s="12" t="n">
        <f aca="false">IF(AND(ISNUMBER(G293),K293="Yes",N293="POL"),IF(AND(G293&gt;=1,G293&lt;=3,COUNTIFS($A$2:A293,A293,$D$2:D293,D293,$E$2:E293,E293,$G$2:G293,G293)=1),1,0),0)</f>
        <v>1</v>
      </c>
    </row>
    <row r="294" customFormat="false" ht="15" hidden="false" customHeight="false" outlineLevel="0" collapsed="false">
      <c r="A294" s="12" t="s">
        <v>289</v>
      </c>
      <c r="B294" s="13" t="n">
        <v>46278</v>
      </c>
      <c r="C294" s="12" t="str">
        <f aca="false">IF(A294="","",IFERROR(INDEX(Events!$D$2:$D$67,MATCH(A294,Events!$A$2:$A$67,0)),"Unknown event ID"))</f>
        <v>Polish Pairs &amp; Team Time Trial Championships</v>
      </c>
      <c r="D294" s="12" t="s">
        <v>407</v>
      </c>
      <c r="E294" s="12" t="s">
        <v>59</v>
      </c>
      <c r="F294" s="12" t="s">
        <v>85</v>
      </c>
      <c r="G294" s="12" t="n">
        <v>1</v>
      </c>
      <c r="H294" s="12" t="s">
        <v>366</v>
      </c>
      <c r="I294" s="12" t="s">
        <v>463</v>
      </c>
      <c r="J294" s="12" t="s">
        <v>409</v>
      </c>
      <c r="K294" s="12" t="str">
        <f aca="false">IF(A294="","",IFERROR(IF(INDEX(Events!$J$2:$J$67,MATCH(A294,Events!$A$2:$A$67,0))="Yes",IF(ISNUMBER(SEARCH("Criterium final",D294)),"No","Yes"),"No"),""))</f>
        <v>Yes</v>
      </c>
      <c r="L294" s="12"/>
      <c r="M294" s="12" t="n">
        <f aca="false">IF(OR(A294="",F294=""),0,IF(COUNTIFS($A$2:A294,A294,$F$2:F294,F294)=1,1,0))</f>
        <v>0</v>
      </c>
      <c r="N294" s="12" t="str">
        <f aca="false">IF(A294="","",IFERROR(INDEX(Events!$F$2:$F$67,MATCH(A294,Events!$A$2:$A$67,0)),""))</f>
        <v>POL</v>
      </c>
      <c r="O294" s="12" t="n">
        <f aca="false">IF(AND(G294=1,K294="Yes",N294="POL"),IF(COUNTIFS($A$2:A294,A294,$D$2:D294,D294,$E$2:E294,E294,$G$2:G294,1)=1,1,0),0)</f>
        <v>0</v>
      </c>
      <c r="P294" s="12" t="n">
        <f aca="false">IF(AND(ISNUMBER(G294),K294="Yes",N294="POL"),IF(AND(G294&gt;=1,G294&lt;=3,COUNTIFS($A$2:A294,A294,$D$2:D294,D294,$E$2:E294,E294,$G$2:G294,G294)=1),1,0),0)</f>
        <v>0</v>
      </c>
    </row>
    <row r="295" customFormat="false" ht="15" hidden="false" customHeight="false" outlineLevel="0" collapsed="false">
      <c r="A295" s="12" t="s">
        <v>289</v>
      </c>
      <c r="B295" s="13" t="n">
        <v>46278</v>
      </c>
      <c r="C295" s="12" t="str">
        <f aca="false">IF(A295="","",IFERROR(INDEX(Events!$D$2:$D$67,MATCH(A295,Events!$A$2:$A$67,0)),"Unknown event ID"))</f>
        <v>Polish Pairs &amp; Team Time Trial Championships</v>
      </c>
      <c r="D295" s="12" t="s">
        <v>407</v>
      </c>
      <c r="E295" s="12" t="s">
        <v>66</v>
      </c>
      <c r="F295" s="12" t="s">
        <v>85</v>
      </c>
      <c r="G295" s="12" t="n">
        <v>1</v>
      </c>
      <c r="H295" s="12" t="s">
        <v>366</v>
      </c>
      <c r="I295" s="12" t="s">
        <v>463</v>
      </c>
      <c r="J295" s="12" t="s">
        <v>409</v>
      </c>
      <c r="K295" s="12" t="str">
        <f aca="false">IF(A295="","",IFERROR(IF(INDEX(Events!$J$2:$J$67,MATCH(A295,Events!$A$2:$A$67,0))="Yes",IF(ISNUMBER(SEARCH("Criterium final",D295)),"No","Yes"),"No"),""))</f>
        <v>Yes</v>
      </c>
      <c r="L295" s="12"/>
      <c r="M295" s="12" t="n">
        <f aca="false">IF(OR(A295="",F295=""),0,IF(COUNTIFS($A$2:A295,A295,$F$2:F295,F295)=1,1,0))</f>
        <v>0</v>
      </c>
      <c r="N295" s="12" t="str">
        <f aca="false">IF(A295="","",IFERROR(INDEX(Events!$F$2:$F$67,MATCH(A295,Events!$A$2:$A$67,0)),""))</f>
        <v>POL</v>
      </c>
      <c r="O295" s="12" t="n">
        <f aca="false">IF(AND(G295=1,K295="Yes",N295="POL"),IF(COUNTIFS($A$2:A295,A295,$D$2:D295,D295,$E$2:E295,E295,$G$2:G295,1)=1,1,0),0)</f>
        <v>0</v>
      </c>
      <c r="P295" s="12" t="n">
        <f aca="false">IF(AND(ISNUMBER(G295),K295="Yes",N295="POL"),IF(AND(G295&gt;=1,G295&lt;=3,COUNTIFS($A$2:A295,A295,$D$2:D295,D295,$E$2:E295,E295,$G$2:G295,G295)=1),1,0),0)</f>
        <v>0</v>
      </c>
    </row>
    <row r="296" customFormat="false" ht="15" hidden="false" customHeight="false" outlineLevel="0" collapsed="false">
      <c r="A296" s="12" t="s">
        <v>174</v>
      </c>
      <c r="B296" s="13" t="n">
        <v>46103</v>
      </c>
      <c r="C296" s="12" t="str">
        <f aca="false">IF(A296="","",IFERROR(INDEX(Events!$D$2:$D$67,MATCH(A296,Events!$A$2:$A$67,0)),"Unknown event ID"))</f>
        <v>Midwest Cycling Classic</v>
      </c>
      <c r="D296" s="12" t="s">
        <v>365</v>
      </c>
      <c r="E296" s="12" t="s">
        <v>59</v>
      </c>
      <c r="F296" s="12" t="s">
        <v>88</v>
      </c>
      <c r="G296" s="12" t="n">
        <v>44</v>
      </c>
      <c r="H296" s="12" t="s">
        <v>366</v>
      </c>
      <c r="I296" s="12"/>
      <c r="J296" s="12" t="s">
        <v>90</v>
      </c>
      <c r="K296" s="12" t="str">
        <f aca="false">IF(A296="","",IFERROR(IF(INDEX(Events!$J$2:$J$67,MATCH(A296,Events!$A$2:$A$67,0))="Yes",IF(ISNUMBER(SEARCH("Criterium final",D296)),"No","Yes"),"No"),""))</f>
        <v>No</v>
      </c>
      <c r="L296" s="12"/>
      <c r="M296" s="12" t="n">
        <f aca="false">IF(OR(A296="",F296=""),0,IF(COUNTIFS($A$2:A296,A296,$F$2:F296,F296)=1,1,0))</f>
        <v>1</v>
      </c>
      <c r="N296" s="12" t="str">
        <f aca="false">IF(A296="","",IFERROR(INDEX(Events!$F$2:$F$67,MATCH(A296,Events!$A$2:$A$67,0)),""))</f>
        <v>BEL</v>
      </c>
      <c r="O296" s="12" t="n">
        <f aca="false">IF(AND(G296=1,K296="Yes",N296="POL"),IF(COUNTIFS($A$2:A296,A296,$D$2:D296,D296,$E$2:E296,E296,$G$2:G296,1)=1,1,0),0)</f>
        <v>0</v>
      </c>
      <c r="P296" s="12" t="n">
        <f aca="false">IF(AND(ISNUMBER(G296),K296="Yes",N296="POL"),IF(AND(G296&gt;=1,G296&lt;=3,COUNTIFS($A$2:A296,A296,$D$2:D296,D296,$E$2:E296,E296,$G$2:G296,G296)=1),1,0),0)</f>
        <v>0</v>
      </c>
    </row>
    <row r="297" customFormat="false" ht="15" hidden="false" customHeight="false" outlineLevel="0" collapsed="false">
      <c r="A297" s="12" t="s">
        <v>181</v>
      </c>
      <c r="B297" s="13" t="n">
        <v>46116</v>
      </c>
      <c r="C297" s="12" t="str">
        <f aca="false">IF(A297="","",IFERROR(INDEX(Events!$D$2:$D$67,MATCH(A297,Events!$A$2:$A$67,0)),"Unknown event ID"))</f>
        <v>NXT Classic</v>
      </c>
      <c r="D297" s="12" t="s">
        <v>365</v>
      </c>
      <c r="E297" s="12" t="s">
        <v>59</v>
      </c>
      <c r="F297" s="12" t="s">
        <v>88</v>
      </c>
      <c r="G297" s="12" t="n">
        <v>65</v>
      </c>
      <c r="H297" s="12" t="s">
        <v>366</v>
      </c>
      <c r="I297" s="12"/>
      <c r="J297" s="12" t="s">
        <v>90</v>
      </c>
      <c r="K297" s="12" t="str">
        <f aca="false">IF(A297="","",IFERROR(IF(INDEX(Events!$J$2:$J$67,MATCH(A297,Events!$A$2:$A$67,0))="Yes",IF(ISNUMBER(SEARCH("Criterium final",D297)),"No","Yes"),"No"),""))</f>
        <v>No</v>
      </c>
      <c r="L297" s="12"/>
      <c r="M297" s="12" t="n">
        <f aca="false">IF(OR(A297="",F297=""),0,IF(COUNTIFS($A$2:A297,A297,$F$2:F297,F297)=1,1,0))</f>
        <v>1</v>
      </c>
      <c r="N297" s="12" t="str">
        <f aca="false">IF(A297="","",IFERROR(INDEX(Events!$F$2:$F$67,MATCH(A297,Events!$A$2:$A$67,0)),""))</f>
        <v>NED</v>
      </c>
      <c r="O297" s="12" t="n">
        <f aca="false">IF(AND(G297=1,K297="Yes",N297="POL"),IF(COUNTIFS($A$2:A297,A297,$D$2:D297,D297,$E$2:E297,E297,$G$2:G297,1)=1,1,0),0)</f>
        <v>0</v>
      </c>
      <c r="P297" s="12" t="n">
        <f aca="false">IF(AND(ISNUMBER(G297),K297="Yes",N297="POL"),IF(AND(G297&gt;=1,G297&lt;=3,COUNTIFS($A$2:A297,A297,$D$2:D297,D297,$E$2:E297,E297,$G$2:G297,G297)=1),1,0),0)</f>
        <v>0</v>
      </c>
    </row>
    <row r="298" customFormat="false" ht="15" hidden="false" customHeight="false" outlineLevel="0" collapsed="false">
      <c r="A298" s="12" t="s">
        <v>193</v>
      </c>
      <c r="B298" s="13" t="n">
        <v>46129</v>
      </c>
      <c r="C298" s="12" t="str">
        <f aca="false">IF(A298="","",IFERROR(INDEX(Events!$D$2:$D$67,MATCH(A298,Events!$A$2:$A$67,0)),"Unknown event ID"))</f>
        <v>De Brabantse Pijl</v>
      </c>
      <c r="D298" s="12" t="s">
        <v>365</v>
      </c>
      <c r="E298" s="12" t="s">
        <v>59</v>
      </c>
      <c r="F298" s="12" t="s">
        <v>88</v>
      </c>
      <c r="G298" s="12"/>
      <c r="H298" s="12" t="s">
        <v>33</v>
      </c>
      <c r="I298" s="12"/>
      <c r="J298" s="12" t="s">
        <v>90</v>
      </c>
      <c r="K298" s="12" t="str">
        <f aca="false">IF(A298="","",IFERROR(IF(INDEX(Events!$J$2:$J$67,MATCH(A298,Events!$A$2:$A$67,0))="Yes",IF(ISNUMBER(SEARCH("Criterium final",D298)),"No","Yes"),"No"),""))</f>
        <v>No</v>
      </c>
      <c r="L298" s="12"/>
      <c r="M298" s="12" t="n">
        <f aca="false">IF(OR(A298="",F298=""),0,IF(COUNTIFS($A$2:A298,A298,$F$2:F298,F298)=1,1,0))</f>
        <v>1</v>
      </c>
      <c r="N298" s="12" t="str">
        <f aca="false">IF(A298="","",IFERROR(INDEX(Events!$F$2:$F$67,MATCH(A298,Events!$A$2:$A$67,0)),""))</f>
        <v>BEL</v>
      </c>
      <c r="O298" s="12" t="n">
        <f aca="false">IF(AND(G298=1,K298="Yes",N298="POL"),IF(COUNTIFS($A$2:A298,A298,$D$2:D298,D298,$E$2:E298,E298,$G$2:G298,1)=1,1,0),0)</f>
        <v>0</v>
      </c>
      <c r="P298" s="12" t="n">
        <f aca="false">IF(AND(ISNUMBER(G298),K298="Yes",N298="POL"),IF(AND(G298&gt;=1,G298&lt;=3,COUNTIFS($A$2:A298,A298,$D$2:D298,D298,$E$2:E298,E298,$G$2:G298,G298)=1),1,0),0)</f>
        <v>0</v>
      </c>
    </row>
    <row r="299" customFormat="false" ht="15" hidden="false" customHeight="false" outlineLevel="0" collapsed="false">
      <c r="A299" s="12" t="s">
        <v>220</v>
      </c>
      <c r="B299" s="13" t="n">
        <v>46152</v>
      </c>
      <c r="C299" s="12" t="str">
        <f aca="false">IF(A299="","",IFERROR(INDEX(Events!$D$2:$D$67,MATCH(A299,Events!$A$2:$A$67,0)),"Unknown event ID"))</f>
        <v>Trofee Maarten Wynants</v>
      </c>
      <c r="D299" s="12" t="s">
        <v>365</v>
      </c>
      <c r="E299" s="12" t="s">
        <v>59</v>
      </c>
      <c r="F299" s="12" t="s">
        <v>88</v>
      </c>
      <c r="G299" s="12"/>
      <c r="H299" s="12" t="s">
        <v>33</v>
      </c>
      <c r="I299" s="12"/>
      <c r="J299" s="12" t="s">
        <v>90</v>
      </c>
      <c r="K299" s="12" t="str">
        <f aca="false">IF(A299="","",IFERROR(IF(INDEX(Events!$J$2:$J$67,MATCH(A299,Events!$A$2:$A$67,0))="Yes",IF(ISNUMBER(SEARCH("Criterium final",D299)),"No","Yes"),"No"),""))</f>
        <v>No</v>
      </c>
      <c r="L299" s="12"/>
      <c r="M299" s="12" t="n">
        <f aca="false">IF(OR(A299="",F299=""),0,IF(COUNTIFS($A$2:A299,A299,$F$2:F299,F299)=1,1,0))</f>
        <v>1</v>
      </c>
      <c r="N299" s="12" t="str">
        <f aca="false">IF(A299="","",IFERROR(INDEX(Events!$F$2:$F$67,MATCH(A299,Events!$A$2:$A$67,0)),""))</f>
        <v>BEL</v>
      </c>
      <c r="O299" s="12" t="n">
        <f aca="false">IF(AND(G299=1,K299="Yes",N299="POL"),IF(COUNTIFS($A$2:A299,A299,$D$2:D299,D299,$E$2:E299,E299,$G$2:G299,1)=1,1,0),0)</f>
        <v>0</v>
      </c>
      <c r="P299" s="12" t="n">
        <f aca="false">IF(AND(ISNUMBER(G299),K299="Yes",N299="POL"),IF(AND(G299&gt;=1,G299&lt;=3,COUNTIFS($A$2:A299,A299,$D$2:D299,D299,$E$2:E299,E299,$G$2:G299,G299)=1),1,0),0)</f>
        <v>0</v>
      </c>
    </row>
    <row r="300" customFormat="false" ht="15" hidden="false" customHeight="false" outlineLevel="0" collapsed="false">
      <c r="A300" s="12" t="s">
        <v>223</v>
      </c>
      <c r="B300" s="13" t="n">
        <v>46156</v>
      </c>
      <c r="C300" s="12" t="str">
        <f aca="false">IF(A300="","",IFERROR(INDEX(Events!$D$2:$D$67,MATCH(A300,Events!$A$2:$A$67,0)),"Unknown event ID"))</f>
        <v>Tour de Feminin</v>
      </c>
      <c r="D300" s="12" t="s">
        <v>372</v>
      </c>
      <c r="E300" s="12" t="s">
        <v>59</v>
      </c>
      <c r="F300" s="12" t="s">
        <v>88</v>
      </c>
      <c r="G300" s="12" t="n">
        <v>7</v>
      </c>
      <c r="H300" s="12" t="s">
        <v>366</v>
      </c>
      <c r="I300" s="12"/>
      <c r="J300" s="12" t="s">
        <v>90</v>
      </c>
      <c r="K300" s="12" t="str">
        <f aca="false">IF(A300="","",IFERROR(IF(INDEX(Events!$J$2:$J$67,MATCH(A300,Events!$A$2:$A$67,0))="Yes",IF(ISNUMBER(SEARCH("Criterium final",D300)),"No","Yes"),"No"),""))</f>
        <v>No</v>
      </c>
      <c r="L300" s="12"/>
      <c r="M300" s="12" t="n">
        <f aca="false">IF(OR(A300="",F300=""),0,IF(COUNTIFS($A$2:A300,A300,$F$2:F300,F300)=1,1,0))</f>
        <v>1</v>
      </c>
      <c r="N300" s="12" t="str">
        <f aca="false">IF(A300="","",IFERROR(INDEX(Events!$F$2:$F$67,MATCH(A300,Events!$A$2:$A$67,0)),""))</f>
        <v>CZE</v>
      </c>
      <c r="O300" s="12" t="n">
        <f aca="false">IF(AND(G300=1,K300="Yes",N300="POL"),IF(COUNTIFS($A$2:A300,A300,$D$2:D300,D300,$E$2:E300,E300,$G$2:G300,1)=1,1,0),0)</f>
        <v>0</v>
      </c>
      <c r="P300" s="12" t="n">
        <f aca="false">IF(AND(ISNUMBER(G300),K300="Yes",N300="POL"),IF(AND(G300&gt;=1,G300&lt;=3,COUNTIFS($A$2:A300,A300,$D$2:D300,D300,$E$2:E300,E300,$G$2:G300,G300)=1),1,0),0)</f>
        <v>0</v>
      </c>
    </row>
    <row r="301" customFormat="false" ht="15" hidden="false" customHeight="false" outlineLevel="0" collapsed="false">
      <c r="A301" s="12" t="s">
        <v>223</v>
      </c>
      <c r="B301" s="13" t="n">
        <v>46157</v>
      </c>
      <c r="C301" s="12" t="str">
        <f aca="false">IF(A301="","",IFERROR(INDEX(Events!$D$2:$D$67,MATCH(A301,Events!$A$2:$A$67,0)),"Unknown event ID"))</f>
        <v>Tour de Feminin</v>
      </c>
      <c r="D301" s="12" t="s">
        <v>373</v>
      </c>
      <c r="E301" s="12" t="s">
        <v>59</v>
      </c>
      <c r="F301" s="12" t="s">
        <v>88</v>
      </c>
      <c r="G301" s="12" t="n">
        <v>71</v>
      </c>
      <c r="H301" s="12" t="s">
        <v>366</v>
      </c>
      <c r="I301" s="12"/>
      <c r="J301" s="12" t="s">
        <v>90</v>
      </c>
      <c r="K301" s="12" t="str">
        <f aca="false">IF(A301="","",IFERROR(IF(INDEX(Events!$J$2:$J$67,MATCH(A301,Events!$A$2:$A$67,0))="Yes",IF(ISNUMBER(SEARCH("Criterium final",D301)),"No","Yes"),"No"),""))</f>
        <v>No</v>
      </c>
      <c r="L301" s="12"/>
      <c r="M301" s="12" t="n">
        <f aca="false">IF(OR(A301="",F301=""),0,IF(COUNTIFS($A$2:A301,A301,$F$2:F301,F301)=1,1,0))</f>
        <v>0</v>
      </c>
      <c r="N301" s="12" t="str">
        <f aca="false">IF(A301="","",IFERROR(INDEX(Events!$F$2:$F$67,MATCH(A301,Events!$A$2:$A$67,0)),""))</f>
        <v>CZE</v>
      </c>
      <c r="O301" s="12" t="n">
        <f aca="false">IF(AND(G301=1,K301="Yes",N301="POL"),IF(COUNTIFS($A$2:A301,A301,$D$2:D301,D301,$E$2:E301,E301,$G$2:G301,1)=1,1,0),0)</f>
        <v>0</v>
      </c>
      <c r="P301" s="12" t="n">
        <f aca="false">IF(AND(ISNUMBER(G301),K301="Yes",N301="POL"),IF(AND(G301&gt;=1,G301&lt;=3,COUNTIFS($A$2:A301,A301,$D$2:D301,D301,$E$2:E301,E301,$G$2:G301,G301)=1),1,0),0)</f>
        <v>0</v>
      </c>
    </row>
    <row r="302" customFormat="false" ht="15" hidden="false" customHeight="false" outlineLevel="0" collapsed="false">
      <c r="A302" s="12" t="s">
        <v>223</v>
      </c>
      <c r="B302" s="13" t="n">
        <v>46158</v>
      </c>
      <c r="C302" s="12" t="str">
        <f aca="false">IF(A302="","",IFERROR(INDEX(Events!$D$2:$D$67,MATCH(A302,Events!$A$2:$A$67,0)),"Unknown event ID"))</f>
        <v>Tour de Feminin</v>
      </c>
      <c r="D302" s="12" t="s">
        <v>374</v>
      </c>
      <c r="E302" s="12" t="s">
        <v>59</v>
      </c>
      <c r="F302" s="12" t="s">
        <v>88</v>
      </c>
      <c r="G302" s="12" t="n">
        <v>66</v>
      </c>
      <c r="H302" s="12" t="s">
        <v>366</v>
      </c>
      <c r="I302" s="12"/>
      <c r="J302" s="12" t="s">
        <v>90</v>
      </c>
      <c r="K302" s="12" t="str">
        <f aca="false">IF(A302="","",IFERROR(IF(INDEX(Events!$J$2:$J$67,MATCH(A302,Events!$A$2:$A$67,0))="Yes",IF(ISNUMBER(SEARCH("Criterium final",D302)),"No","Yes"),"No"),""))</f>
        <v>No</v>
      </c>
      <c r="L302" s="12"/>
      <c r="M302" s="12" t="n">
        <f aca="false">IF(OR(A302="",F302=""),0,IF(COUNTIFS($A$2:A302,A302,$F$2:F302,F302)=1,1,0))</f>
        <v>0</v>
      </c>
      <c r="N302" s="12" t="str">
        <f aca="false">IF(A302="","",IFERROR(INDEX(Events!$F$2:$F$67,MATCH(A302,Events!$A$2:$A$67,0)),""))</f>
        <v>CZE</v>
      </c>
      <c r="O302" s="12" t="n">
        <f aca="false">IF(AND(G302=1,K302="Yes",N302="POL"),IF(COUNTIFS($A$2:A302,A302,$D$2:D302,D302,$E$2:E302,E302,$G$2:G302,1)=1,1,0),0)</f>
        <v>0</v>
      </c>
      <c r="P302" s="12" t="n">
        <f aca="false">IF(AND(ISNUMBER(G302),K302="Yes",N302="POL"),IF(AND(G302&gt;=1,G302&lt;=3,COUNTIFS($A$2:A302,A302,$D$2:D302,D302,$E$2:E302,E302,$G$2:G302,G302)=1),1,0),0)</f>
        <v>0</v>
      </c>
    </row>
    <row r="303" customFormat="false" ht="15" hidden="false" customHeight="false" outlineLevel="0" collapsed="false">
      <c r="A303" s="12" t="s">
        <v>223</v>
      </c>
      <c r="B303" s="13" t="n">
        <v>46159</v>
      </c>
      <c r="C303" s="12" t="str">
        <f aca="false">IF(A303="","",IFERROR(INDEX(Events!$D$2:$D$67,MATCH(A303,Events!$A$2:$A$67,0)),"Unknown event ID"))</f>
        <v>Tour de Feminin</v>
      </c>
      <c r="D303" s="12" t="s">
        <v>375</v>
      </c>
      <c r="E303" s="12" t="s">
        <v>59</v>
      </c>
      <c r="F303" s="12" t="s">
        <v>88</v>
      </c>
      <c r="G303" s="12" t="n">
        <v>74</v>
      </c>
      <c r="H303" s="12" t="s">
        <v>366</v>
      </c>
      <c r="I303" s="12"/>
      <c r="J303" s="12" t="s">
        <v>90</v>
      </c>
      <c r="K303" s="12" t="str">
        <f aca="false">IF(A303="","",IFERROR(IF(INDEX(Events!$J$2:$J$67,MATCH(A303,Events!$A$2:$A$67,0))="Yes",IF(ISNUMBER(SEARCH("Criterium final",D303)),"No","Yes"),"No"),""))</f>
        <v>No</v>
      </c>
      <c r="L303" s="12"/>
      <c r="M303" s="12" t="n">
        <f aca="false">IF(OR(A303="",F303=""),0,IF(COUNTIFS($A$2:A303,A303,$F$2:F303,F303)=1,1,0))</f>
        <v>0</v>
      </c>
      <c r="N303" s="12" t="str">
        <f aca="false">IF(A303="","",IFERROR(INDEX(Events!$F$2:$F$67,MATCH(A303,Events!$A$2:$A$67,0)),""))</f>
        <v>CZE</v>
      </c>
      <c r="O303" s="12" t="n">
        <f aca="false">IF(AND(G303=1,K303="Yes",N303="POL"),IF(COUNTIFS($A$2:A303,A303,$D$2:D303,D303,$E$2:E303,E303,$G$2:G303,1)=1,1,0),0)</f>
        <v>0</v>
      </c>
      <c r="P303" s="12" t="n">
        <f aca="false">IF(AND(ISNUMBER(G303),K303="Yes",N303="POL"),IF(AND(G303&gt;=1,G303&lt;=3,COUNTIFS($A$2:A303,A303,$D$2:D303,D303,$E$2:E303,E303,$G$2:G303,G303)=1),1,0),0)</f>
        <v>0</v>
      </c>
    </row>
    <row r="304" customFormat="false" ht="15" hidden="false" customHeight="false" outlineLevel="0" collapsed="false">
      <c r="A304" s="12" t="s">
        <v>223</v>
      </c>
      <c r="B304" s="13" t="n">
        <v>46159</v>
      </c>
      <c r="C304" s="12" t="str">
        <f aca="false">IF(A304="","",IFERROR(INDEX(Events!$D$2:$D$67,MATCH(A304,Events!$A$2:$A$67,0)),"Unknown event ID"))</f>
        <v>Tour de Feminin</v>
      </c>
      <c r="D304" s="12" t="s">
        <v>376</v>
      </c>
      <c r="E304" s="12" t="s">
        <v>59</v>
      </c>
      <c r="F304" s="12" t="s">
        <v>88</v>
      </c>
      <c r="G304" s="12" t="n">
        <v>67</v>
      </c>
      <c r="H304" s="12" t="s">
        <v>366</v>
      </c>
      <c r="I304" s="12"/>
      <c r="J304" s="12" t="s">
        <v>90</v>
      </c>
      <c r="K304" s="12" t="str">
        <f aca="false">IF(A304="","",IFERROR(IF(INDEX(Events!$J$2:$J$67,MATCH(A304,Events!$A$2:$A$67,0))="Yes",IF(ISNUMBER(SEARCH("Criterium final",D304)),"No","Yes"),"No"),""))</f>
        <v>No</v>
      </c>
      <c r="L304" s="12"/>
      <c r="M304" s="12" t="n">
        <f aca="false">IF(OR(A304="",F304=""),0,IF(COUNTIFS($A$2:A304,A304,$F$2:F304,F304)=1,1,0))</f>
        <v>0</v>
      </c>
      <c r="N304" s="12" t="str">
        <f aca="false">IF(A304="","",IFERROR(INDEX(Events!$F$2:$F$67,MATCH(A304,Events!$A$2:$A$67,0)),""))</f>
        <v>CZE</v>
      </c>
      <c r="O304" s="12" t="n">
        <f aca="false">IF(AND(G304=1,K304="Yes",N304="POL"),IF(COUNTIFS($A$2:A304,A304,$D$2:D304,D304,$E$2:E304,E304,$G$2:G304,1)=1,1,0),0)</f>
        <v>0</v>
      </c>
      <c r="P304" s="12" t="n">
        <f aca="false">IF(AND(ISNUMBER(G304),K304="Yes",N304="POL"),IF(AND(G304&gt;=1,G304&lt;=3,COUNTIFS($A$2:A304,A304,$D$2:D304,D304,$E$2:E304,E304,$G$2:G304,G304)=1),1,0),0)</f>
        <v>0</v>
      </c>
    </row>
    <row r="305" customFormat="false" ht="15" hidden="false" customHeight="false" outlineLevel="0" collapsed="false">
      <c r="A305" s="12" t="s">
        <v>230</v>
      </c>
      <c r="B305" s="13" t="n">
        <v>46165</v>
      </c>
      <c r="C305" s="12" t="str">
        <f aca="false">IF(A305="","",IFERROR(INDEX(Events!$D$2:$D$67,MATCH(A305,Events!$A$2:$A$67,0)),"Unknown event ID"))</f>
        <v>Polish Cup (road) – Lubuskie Warte Zachodu</v>
      </c>
      <c r="D305" s="12" t="s">
        <v>385</v>
      </c>
      <c r="E305" s="12" t="s">
        <v>66</v>
      </c>
      <c r="F305" s="12" t="s">
        <v>88</v>
      </c>
      <c r="G305" s="12" t="n">
        <v>3</v>
      </c>
      <c r="H305" s="12" t="s">
        <v>366</v>
      </c>
      <c r="I305" s="12"/>
      <c r="J305" s="12" t="s">
        <v>386</v>
      </c>
      <c r="K305" s="12" t="str">
        <f aca="false">IF(A305="","",IFERROR(IF(INDEX(Events!$J$2:$J$67,MATCH(A305,Events!$A$2:$A$67,0))="Yes",IF(ISNUMBER(SEARCH("Criterium final",D305)),"No","Yes"),"No"),""))</f>
        <v>No</v>
      </c>
      <c r="L305" s="12"/>
      <c r="M305" s="12" t="n">
        <f aca="false">IF(OR(A305="",F305=""),0,IF(COUNTIFS($A$2:A305,A305,$F$2:F305,F305)=1,1,0))</f>
        <v>1</v>
      </c>
      <c r="N305" s="12" t="str">
        <f aca="false">IF(A305="","",IFERROR(INDEX(Events!$F$2:$F$67,MATCH(A305,Events!$A$2:$A$67,0)),""))</f>
        <v>POL</v>
      </c>
      <c r="O305" s="12" t="n">
        <f aca="false">IF(AND(G305=1,K305="Yes",N305="POL"),IF(COUNTIFS($A$2:A305,A305,$D$2:D305,D305,$E$2:E305,E305,$G$2:G305,1)=1,1,0),0)</f>
        <v>0</v>
      </c>
      <c r="P305" s="12" t="n">
        <f aca="false">IF(AND(ISNUMBER(G305),K305="Yes",N305="POL"),IF(AND(G305&gt;=1,G305&lt;=3,COUNTIFS($A$2:A305,A305,$D$2:D305,D305,$E$2:E305,E305,$G$2:G305,G305)=1),1,0),0)</f>
        <v>0</v>
      </c>
    </row>
    <row r="306" customFormat="false" ht="15" hidden="false" customHeight="false" outlineLevel="0" collapsed="false">
      <c r="A306" s="12" t="s">
        <v>325</v>
      </c>
      <c r="B306" s="13" t="n">
        <v>46172</v>
      </c>
      <c r="C306" s="12" t="str">
        <f aca="false">IF(A306="","",IFERROR(INDEX(Events!$D$2:$D$67,MATCH(A306,Events!$A$2:$A$67,0)),"Unknown event ID"))</f>
        <v>3 Nations Cup – MTB Festival Vlaanderen</v>
      </c>
      <c r="D306" s="12" t="s">
        <v>464</v>
      </c>
      <c r="E306" s="12" t="s">
        <v>59</v>
      </c>
      <c r="F306" s="12" t="s">
        <v>88</v>
      </c>
      <c r="G306" s="12" t="n">
        <v>13</v>
      </c>
      <c r="H306" s="12" t="s">
        <v>366</v>
      </c>
      <c r="I306" s="12"/>
      <c r="J306" s="12" t="s">
        <v>90</v>
      </c>
      <c r="K306" s="12" t="str">
        <f aca="false">IF(A306="","",IFERROR(IF(INDEX(Events!$J$2:$J$67,MATCH(A306,Events!$A$2:$A$67,0))="Yes",IF(ISNUMBER(SEARCH("Criterium final",D306)),"No","Yes"),"No"),""))</f>
        <v>No</v>
      </c>
      <c r="L306" s="12"/>
      <c r="M306" s="12" t="n">
        <f aca="false">IF(OR(A306="",F306=""),0,IF(COUNTIFS($A$2:A306,A306,$F$2:F306,F306)=1,1,0))</f>
        <v>1</v>
      </c>
      <c r="N306" s="12" t="str">
        <f aca="false">IF(A306="","",IFERROR(INDEX(Events!$F$2:$F$67,MATCH(A306,Events!$A$2:$A$67,0)),""))</f>
        <v>BEL</v>
      </c>
      <c r="O306" s="12" t="n">
        <f aca="false">IF(AND(G306=1,K306="Yes",N306="POL"),IF(COUNTIFS($A$2:A306,A306,$D$2:D306,D306,$E$2:E306,E306,$G$2:G306,1)=1,1,0),0)</f>
        <v>0</v>
      </c>
      <c r="P306" s="12" t="n">
        <f aca="false">IF(AND(ISNUMBER(G306),K306="Yes",N306="POL"),IF(AND(G306&gt;=1,G306&lt;=3,COUNTIFS($A$2:A306,A306,$D$2:D306,D306,$E$2:E306,E306,$G$2:G306,G306)=1),1,0),0)</f>
        <v>0</v>
      </c>
    </row>
    <row r="307" customFormat="false" ht="15" hidden="false" customHeight="false" outlineLevel="0" collapsed="false">
      <c r="A307" s="12" t="s">
        <v>243</v>
      </c>
      <c r="B307" s="13" t="n">
        <v>46194</v>
      </c>
      <c r="C307" s="12" t="str">
        <f aca="false">IF(A307="","",IFERROR(INDEX(Events!$D$2:$D$67,MATCH(A307,Events!$A$2:$A$67,0)),"Unknown event ID"))</f>
        <v>LOTTO Thüringen Women Cycling Challenge</v>
      </c>
      <c r="D307" s="12" t="s">
        <v>365</v>
      </c>
      <c r="E307" s="12" t="s">
        <v>59</v>
      </c>
      <c r="F307" s="12" t="s">
        <v>88</v>
      </c>
      <c r="G307" s="12" t="n">
        <v>43</v>
      </c>
      <c r="H307" s="12" t="s">
        <v>366</v>
      </c>
      <c r="I307" s="12"/>
      <c r="J307" s="12" t="s">
        <v>90</v>
      </c>
      <c r="K307" s="12" t="str">
        <f aca="false">IF(A307="","",IFERROR(IF(INDEX(Events!$J$2:$J$67,MATCH(A307,Events!$A$2:$A$67,0))="Yes",IF(ISNUMBER(SEARCH("Criterium final",D307)),"No","Yes"),"No"),""))</f>
        <v>No</v>
      </c>
      <c r="L307" s="12"/>
      <c r="M307" s="12" t="n">
        <f aca="false">IF(OR(A307="",F307=""),0,IF(COUNTIFS($A$2:A307,A307,$F$2:F307,F307)=1,1,0))</f>
        <v>1</v>
      </c>
      <c r="N307" s="12" t="str">
        <f aca="false">IF(A307="","",IFERROR(INDEX(Events!$F$2:$F$67,MATCH(A307,Events!$A$2:$A$67,0)),""))</f>
        <v>GER</v>
      </c>
      <c r="O307" s="12" t="n">
        <f aca="false">IF(AND(G307=1,K307="Yes",N307="POL"),IF(COUNTIFS($A$2:A307,A307,$D$2:D307,D307,$E$2:E307,E307,$G$2:G307,1)=1,1,0),0)</f>
        <v>0</v>
      </c>
      <c r="P307" s="12" t="n">
        <f aca="false">IF(AND(ISNUMBER(G307),K307="Yes",N307="POL"),IF(AND(G307&gt;=1,G307&lt;=3,COUNTIFS($A$2:A307,A307,$D$2:D307,D307,$E$2:E307,E307,$G$2:G307,G307)=1),1,0),0)</f>
        <v>0</v>
      </c>
    </row>
    <row r="308" customFormat="false" ht="15" hidden="false" customHeight="false" outlineLevel="0" collapsed="false">
      <c r="A308" s="12" t="s">
        <v>246</v>
      </c>
      <c r="B308" s="13" t="n">
        <v>46198</v>
      </c>
      <c r="C308" s="12" t="str">
        <f aca="false">IF(A308="","",IFERROR(INDEX(Events!$D$2:$D$67,MATCH(A308,Events!$A$2:$A$67,0)),"Unknown event ID"))</f>
        <v>Polish Road Championships (ITT + road race)</v>
      </c>
      <c r="D308" s="12" t="s">
        <v>387</v>
      </c>
      <c r="E308" s="12" t="s">
        <v>66</v>
      </c>
      <c r="F308" s="12" t="s">
        <v>88</v>
      </c>
      <c r="G308" s="12" t="n">
        <v>5</v>
      </c>
      <c r="H308" s="12" t="s">
        <v>366</v>
      </c>
      <c r="I308" s="12"/>
      <c r="J308" s="12" t="s">
        <v>90</v>
      </c>
      <c r="K308" s="12" t="str">
        <f aca="false">IF(A308="","",IFERROR(IF(INDEX(Events!$J$2:$J$67,MATCH(A308,Events!$A$2:$A$67,0))="Yes",IF(ISNUMBER(SEARCH("Criterium final",D308)),"No","Yes"),"No"),""))</f>
        <v>Yes</v>
      </c>
      <c r="L308" s="12"/>
      <c r="M308" s="12" t="n">
        <f aca="false">IF(OR(A308="",F308=""),0,IF(COUNTIFS($A$2:A308,A308,$F$2:F308,F308)=1,1,0))</f>
        <v>1</v>
      </c>
      <c r="N308" s="12" t="str">
        <f aca="false">IF(A308="","",IFERROR(INDEX(Events!$F$2:$F$67,MATCH(A308,Events!$A$2:$A$67,0)),""))</f>
        <v>POL</v>
      </c>
      <c r="O308" s="12" t="n">
        <f aca="false">IF(AND(G308=1,K308="Yes",N308="POL"),IF(COUNTIFS($A$2:A308,A308,$D$2:D308,D308,$E$2:E308,E308,$G$2:G308,1)=1,1,0),0)</f>
        <v>0</v>
      </c>
      <c r="P308" s="12" t="n">
        <f aca="false">IF(AND(ISNUMBER(G308),K308="Yes",N308="POL"),IF(AND(G308&gt;=1,G308&lt;=3,COUNTIFS($A$2:A308,A308,$D$2:D308,D308,$E$2:E308,E308,$G$2:G308,G308)=1),1,0),0)</f>
        <v>0</v>
      </c>
    </row>
    <row r="309" customFormat="false" ht="15" hidden="false" customHeight="false" outlineLevel="0" collapsed="false">
      <c r="A309" s="12" t="s">
        <v>246</v>
      </c>
      <c r="B309" s="13" t="n">
        <v>46200</v>
      </c>
      <c r="C309" s="12" t="str">
        <f aca="false">IF(A309="","",IFERROR(INDEX(Events!$D$2:$D$67,MATCH(A309,Events!$A$2:$A$67,0)),"Unknown event ID"))</f>
        <v>Polish Road Championships (ITT + road race)</v>
      </c>
      <c r="D309" s="12" t="s">
        <v>367</v>
      </c>
      <c r="E309" s="12" t="s">
        <v>59</v>
      </c>
      <c r="F309" s="12" t="s">
        <v>88</v>
      </c>
      <c r="G309" s="12" t="n">
        <v>11</v>
      </c>
      <c r="H309" s="12" t="s">
        <v>366</v>
      </c>
      <c r="I309" s="12"/>
      <c r="J309" s="12" t="s">
        <v>90</v>
      </c>
      <c r="K309" s="12" t="str">
        <f aca="false">IF(A309="","",IFERROR(IF(INDEX(Events!$J$2:$J$67,MATCH(A309,Events!$A$2:$A$67,0))="Yes",IF(ISNUMBER(SEARCH("Criterium final",D309)),"No","Yes"),"No"),""))</f>
        <v>Yes</v>
      </c>
      <c r="L309" s="12"/>
      <c r="M309" s="12" t="n">
        <f aca="false">IF(OR(A309="",F309=""),0,IF(COUNTIFS($A$2:A309,A309,$F$2:F309,F309)=1,1,0))</f>
        <v>0</v>
      </c>
      <c r="N309" s="12" t="str">
        <f aca="false">IF(A309="","",IFERROR(INDEX(Events!$F$2:$F$67,MATCH(A309,Events!$A$2:$A$67,0)),""))</f>
        <v>POL</v>
      </c>
      <c r="O309" s="12" t="n">
        <f aca="false">IF(AND(G309=1,K309="Yes",N309="POL"),IF(COUNTIFS($A$2:A309,A309,$D$2:D309,D309,$E$2:E309,E309,$G$2:G309,1)=1,1,0),0)</f>
        <v>0</v>
      </c>
      <c r="P309" s="12" t="n">
        <f aca="false">IF(AND(ISNUMBER(G309),K309="Yes",N309="POL"),IF(AND(G309&gt;=1,G309&lt;=3,COUNTIFS($A$2:A309,A309,$D$2:D309,D309,$E$2:E309,E309,$G$2:G309,G309)=1),1,0),0)</f>
        <v>0</v>
      </c>
    </row>
    <row r="310" customFormat="false" ht="15" hidden="false" customHeight="false" outlineLevel="0" collapsed="false">
      <c r="A310" s="12" t="s">
        <v>252</v>
      </c>
      <c r="B310" s="13" t="n">
        <v>46214</v>
      </c>
      <c r="C310" s="12" t="str">
        <f aca="false">IF(A310="","",IFERROR(INDEX(Events!$D$2:$D$67,MATCH(A310,Events!$A$2:$A$67,0)),"Unknown event ID"))</f>
        <v>Respect Ladies Race Slovakia</v>
      </c>
      <c r="D310" s="12" t="s">
        <v>365</v>
      </c>
      <c r="E310" s="12" t="s">
        <v>59</v>
      </c>
      <c r="F310" s="12" t="s">
        <v>88</v>
      </c>
      <c r="G310" s="12" t="n">
        <v>7</v>
      </c>
      <c r="H310" s="12" t="s">
        <v>366</v>
      </c>
      <c r="I310" s="12"/>
      <c r="J310" s="12" t="s">
        <v>90</v>
      </c>
      <c r="K310" s="12" t="str">
        <f aca="false">IF(A310="","",IFERROR(IF(INDEX(Events!$J$2:$J$67,MATCH(A310,Events!$A$2:$A$67,0))="Yes",IF(ISNUMBER(SEARCH("Criterium final",D310)),"No","Yes"),"No"),""))</f>
        <v>No</v>
      </c>
      <c r="L310" s="12"/>
      <c r="M310" s="12" t="n">
        <f aca="false">IF(OR(A310="",F310=""),0,IF(COUNTIFS($A$2:A310,A310,$F$2:F310,F310)=1,1,0))</f>
        <v>1</v>
      </c>
      <c r="N310" s="12" t="str">
        <f aca="false">IF(A310="","",IFERROR(INDEX(Events!$F$2:$F$67,MATCH(A310,Events!$A$2:$A$67,0)),""))</f>
        <v>SVK</v>
      </c>
      <c r="O310" s="12" t="n">
        <f aca="false">IF(AND(G310=1,K310="Yes",N310="POL"),IF(COUNTIFS($A$2:A310,A310,$D$2:D310,D310,$E$2:E310,E310,$G$2:G310,1)=1,1,0),0)</f>
        <v>0</v>
      </c>
      <c r="P310" s="12" t="n">
        <f aca="false">IF(AND(ISNUMBER(G310),K310="Yes",N310="POL"),IF(AND(G310&gt;=1,G310&lt;=3,COUNTIFS($A$2:A310,A310,$D$2:D310,D310,$E$2:E310,E310,$G$2:G310,G310)=1),1,0),0)</f>
        <v>0</v>
      </c>
    </row>
    <row r="311" customFormat="false" ht="15" hidden="false" customHeight="false" outlineLevel="0" collapsed="false">
      <c r="A311" s="12" t="s">
        <v>334</v>
      </c>
      <c r="B311" s="13" t="n">
        <v>46219</v>
      </c>
      <c r="C311" s="12" t="str">
        <f aca="false">IF(A311="","",IFERROR(INDEX(Events!$D$2:$D$67,MATCH(A311,Events!$A$2:$A$67,0)),"Unknown event ID"))</f>
        <v>Polish MTB Championships (XCO / XCC)</v>
      </c>
      <c r="D311" s="12" t="s">
        <v>465</v>
      </c>
      <c r="E311" s="12" t="s">
        <v>59</v>
      </c>
      <c r="F311" s="12" t="s">
        <v>88</v>
      </c>
      <c r="G311" s="12" t="n">
        <v>10</v>
      </c>
      <c r="H311" s="12" t="s">
        <v>366</v>
      </c>
      <c r="I311" s="12"/>
      <c r="J311" s="12" t="s">
        <v>90</v>
      </c>
      <c r="K311" s="12" t="str">
        <f aca="false">IF(A311="","",IFERROR(IF(INDEX(Events!$J$2:$J$67,MATCH(A311,Events!$A$2:$A$67,0))="Yes",IF(ISNUMBER(SEARCH("Criterium final",D311)),"No","Yes"),"No"),""))</f>
        <v>Yes</v>
      </c>
      <c r="L311" s="12"/>
      <c r="M311" s="12" t="n">
        <f aca="false">IF(OR(A311="",F311=""),0,IF(COUNTIFS($A$2:A311,A311,$F$2:F311,F311)=1,1,0))</f>
        <v>1</v>
      </c>
      <c r="N311" s="12" t="str">
        <f aca="false">IF(A311="","",IFERROR(INDEX(Events!$F$2:$F$67,MATCH(A311,Events!$A$2:$A$67,0)),""))</f>
        <v>POL</v>
      </c>
      <c r="O311" s="12" t="n">
        <f aca="false">IF(AND(G311=1,K311="Yes",N311="POL"),IF(COUNTIFS($A$2:A311,A311,$D$2:D311,D311,$E$2:E311,E311,$G$2:G311,1)=1,1,0),0)</f>
        <v>0</v>
      </c>
      <c r="P311" s="12" t="n">
        <f aca="false">IF(AND(ISNUMBER(G311),K311="Yes",N311="POL"),IF(AND(G311&gt;=1,G311&lt;=3,COUNTIFS($A$2:A311,A311,$D$2:D311,D311,$E$2:E311,E311,$G$2:G311,G311)=1),1,0),0)</f>
        <v>0</v>
      </c>
    </row>
    <row r="312" customFormat="false" ht="15" hidden="false" customHeight="false" outlineLevel="0" collapsed="false">
      <c r="A312" s="12" t="s">
        <v>334</v>
      </c>
      <c r="B312" s="13" t="n">
        <v>46219</v>
      </c>
      <c r="C312" s="12" t="str">
        <f aca="false">IF(A312="","",IFERROR(INDEX(Events!$D$2:$D$67,MATCH(A312,Events!$A$2:$A$67,0)),"Unknown event ID"))</f>
        <v>Polish MTB Championships (XCO / XCC)</v>
      </c>
      <c r="D312" s="12" t="s">
        <v>464</v>
      </c>
      <c r="E312" s="12" t="s">
        <v>59</v>
      </c>
      <c r="F312" s="12" t="s">
        <v>88</v>
      </c>
      <c r="G312" s="12"/>
      <c r="H312" s="12" t="s">
        <v>466</v>
      </c>
      <c r="I312" s="12" t="s">
        <v>467</v>
      </c>
      <c r="J312" s="12" t="s">
        <v>90</v>
      </c>
      <c r="K312" s="12" t="str">
        <f aca="false">IF(A312="","",IFERROR(IF(INDEX(Events!$J$2:$J$67,MATCH(A312,Events!$A$2:$A$67,0))="Yes",IF(ISNUMBER(SEARCH("Criterium final",D312)),"No","Yes"),"No"),""))</f>
        <v>Yes</v>
      </c>
      <c r="L312" s="12"/>
      <c r="M312" s="12" t="n">
        <f aca="false">IF(OR(A312="",F312=""),0,IF(COUNTIFS($A$2:A312,A312,$F$2:F312,F312)=1,1,0))</f>
        <v>0</v>
      </c>
      <c r="N312" s="12" t="str">
        <f aca="false">IF(A312="","",IFERROR(INDEX(Events!$F$2:$F$67,MATCH(A312,Events!$A$2:$A$67,0)),""))</f>
        <v>POL</v>
      </c>
      <c r="O312" s="12" t="n">
        <f aca="false">IF(AND(G312=1,K312="Yes",N312="POL"),IF(COUNTIFS($A$2:A312,A312,$D$2:D312,D312,$E$2:E312,E312,$G$2:G312,1)=1,1,0),0)</f>
        <v>0</v>
      </c>
      <c r="P312" s="12" t="n">
        <f aca="false">IF(AND(ISNUMBER(G312),K312="Yes",N312="POL"),IF(AND(G312&gt;=1,G312&lt;=3,COUNTIFS($A$2:A312,A312,$D$2:D312,D312,$E$2:E312,E312,$G$2:G312,G312)=1),1,0),0)</f>
        <v>0</v>
      </c>
    </row>
    <row r="313" customFormat="false" ht="15" hidden="false" customHeight="false" outlineLevel="0" collapsed="false">
      <c r="A313" s="12" t="s">
        <v>262</v>
      </c>
      <c r="B313" s="13" t="n">
        <v>46242</v>
      </c>
      <c r="C313" s="12" t="str">
        <f aca="false">IF(A313="","",IFERROR(INDEX(Events!$D$2:$D$67,MATCH(A313,Events!$A$2:$A$67,0)),"Unknown event ID"))</f>
        <v>Criterium Grudziądz (Puchar Prezydenta Grudziądza)</v>
      </c>
      <c r="D313" s="12" t="s">
        <v>433</v>
      </c>
      <c r="E313" s="12" t="s">
        <v>428</v>
      </c>
      <c r="F313" s="12" t="s">
        <v>88</v>
      </c>
      <c r="G313" s="12" t="n">
        <v>2</v>
      </c>
      <c r="H313" s="12" t="s">
        <v>366</v>
      </c>
      <c r="I313" s="12"/>
      <c r="J313" s="12" t="s">
        <v>444</v>
      </c>
      <c r="K313" s="12" t="str">
        <f aca="false">IF(A313="","",IFERROR(IF(INDEX(Events!$J$2:$J$67,MATCH(A313,Events!$A$2:$A$67,0))="Yes",IF(ISNUMBER(SEARCH("Criterium final",D313)),"No","Yes"),"No"),""))</f>
        <v>No</v>
      </c>
      <c r="L313" s="12"/>
      <c r="M313" s="12" t="n">
        <f aca="false">IF(OR(A313="",F313=""),0,IF(COUNTIFS($A$2:A313,A313,$F$2:F313,F313)=1,1,0))</f>
        <v>1</v>
      </c>
      <c r="N313" s="12" t="str">
        <f aca="false">IF(A313="","",IFERROR(INDEX(Events!$F$2:$F$67,MATCH(A313,Events!$A$2:$A$67,0)),""))</f>
        <v>POL</v>
      </c>
      <c r="O313" s="12" t="n">
        <f aca="false">IF(AND(G313=1,K313="Yes",N313="POL"),IF(COUNTIFS($A$2:A313,A313,$D$2:D313,D313,$E$2:E313,E313,$G$2:G313,1)=1,1,0),0)</f>
        <v>0</v>
      </c>
      <c r="P313" s="12" t="n">
        <f aca="false">IF(AND(ISNUMBER(G313),K313="Yes",N313="POL"),IF(AND(G313&gt;=1,G313&lt;=3,COUNTIFS($A$2:A313,A313,$D$2:D313,D313,$E$2:E313,E313,$G$2:G313,G313)=1),1,0),0)</f>
        <v>0</v>
      </c>
    </row>
    <row r="314" customFormat="false" ht="15" hidden="false" customHeight="false" outlineLevel="0" collapsed="false">
      <c r="A314" s="12" t="s">
        <v>289</v>
      </c>
      <c r="B314" s="13" t="n">
        <v>46277</v>
      </c>
      <c r="C314" s="12" t="str">
        <f aca="false">IF(A314="","",IFERROR(INDEX(Events!$D$2:$D$67,MATCH(A314,Events!$A$2:$A$67,0)),"Unknown event ID"))</f>
        <v>Polish Pairs &amp; Team Time Trial Championships</v>
      </c>
      <c r="D314" s="12" t="s">
        <v>405</v>
      </c>
      <c r="E314" s="12" t="s">
        <v>59</v>
      </c>
      <c r="F314" s="12" t="s">
        <v>88</v>
      </c>
      <c r="G314" s="12" t="n">
        <v>2</v>
      </c>
      <c r="H314" s="12" t="s">
        <v>366</v>
      </c>
      <c r="I314" s="12" t="s">
        <v>468</v>
      </c>
      <c r="J314" s="12" t="s">
        <v>406</v>
      </c>
      <c r="K314" s="12" t="str">
        <f aca="false">IF(A314="","",IFERROR(IF(INDEX(Events!$J$2:$J$67,MATCH(A314,Events!$A$2:$A$67,0))="Yes",IF(ISNUMBER(SEARCH("Criterium final",D314)),"No","Yes"),"No"),""))</f>
        <v>Yes</v>
      </c>
      <c r="L314" s="12"/>
      <c r="M314" s="12" t="n">
        <f aca="false">IF(OR(A314="",F314=""),0,IF(COUNTIFS($A$2:A314,A314,$F$2:F314,F314)=1,1,0))</f>
        <v>1</v>
      </c>
      <c r="N314" s="12" t="str">
        <f aca="false">IF(A314="","",IFERROR(INDEX(Events!$F$2:$F$67,MATCH(A314,Events!$A$2:$A$67,0)),""))</f>
        <v>POL</v>
      </c>
      <c r="O314" s="12" t="n">
        <f aca="false">IF(AND(G314=1,K314="Yes",N314="POL"),IF(COUNTIFS($A$2:A314,A314,$D$2:D314,D314,$E$2:E314,E314,$G$2:G314,1)=1,1,0),0)</f>
        <v>0</v>
      </c>
      <c r="P314" s="12" t="n">
        <f aca="false">IF(AND(ISNUMBER(G314),K314="Yes",N314="POL"),IF(AND(G314&gt;=1,G314&lt;=3,COUNTIFS($A$2:A314,A314,$D$2:D314,D314,$E$2:E314,E314,$G$2:G314,G314)=1),1,0),0)</f>
        <v>0</v>
      </c>
    </row>
    <row r="315" customFormat="false" ht="15" hidden="false" customHeight="false" outlineLevel="0" collapsed="false">
      <c r="A315" s="12" t="s">
        <v>289</v>
      </c>
      <c r="B315" s="13" t="n">
        <v>46277</v>
      </c>
      <c r="C315" s="12" t="str">
        <f aca="false">IF(A315="","",IFERROR(INDEX(Events!$D$2:$D$67,MATCH(A315,Events!$A$2:$A$67,0)),"Unknown event ID"))</f>
        <v>Polish Pairs &amp; Team Time Trial Championships</v>
      </c>
      <c r="D315" s="12" t="s">
        <v>405</v>
      </c>
      <c r="E315" s="12" t="s">
        <v>66</v>
      </c>
      <c r="F315" s="12" t="s">
        <v>88</v>
      </c>
      <c r="G315" s="12" t="n">
        <v>2</v>
      </c>
      <c r="H315" s="12" t="s">
        <v>366</v>
      </c>
      <c r="I315" s="12" t="s">
        <v>468</v>
      </c>
      <c r="J315" s="12" t="s">
        <v>406</v>
      </c>
      <c r="K315" s="12" t="str">
        <f aca="false">IF(A315="","",IFERROR(IF(INDEX(Events!$J$2:$J$67,MATCH(A315,Events!$A$2:$A$67,0))="Yes",IF(ISNUMBER(SEARCH("Criterium final",D315)),"No","Yes"),"No"),""))</f>
        <v>Yes</v>
      </c>
      <c r="L315" s="12"/>
      <c r="M315" s="12" t="n">
        <f aca="false">IF(OR(A315="",F315=""),0,IF(COUNTIFS($A$2:A315,A315,$F$2:F315,F315)=1,1,0))</f>
        <v>0</v>
      </c>
      <c r="N315" s="12" t="str">
        <f aca="false">IF(A315="","",IFERROR(INDEX(Events!$F$2:$F$67,MATCH(A315,Events!$A$2:$A$67,0)),""))</f>
        <v>POL</v>
      </c>
      <c r="O315" s="12" t="n">
        <f aca="false">IF(AND(G315=1,K315="Yes",N315="POL"),IF(COUNTIFS($A$2:A315,A315,$D$2:D315,D315,$E$2:E315,E315,$G$2:G315,1)=1,1,0),0)</f>
        <v>0</v>
      </c>
      <c r="P315" s="12" t="n">
        <f aca="false">IF(AND(ISNUMBER(G315),K315="Yes",N315="POL"),IF(AND(G315&gt;=1,G315&lt;=3,COUNTIFS($A$2:A315,A315,$D$2:D315,D315,$E$2:E315,E315,$G$2:G315,G315)=1),1,0),0)</f>
        <v>0</v>
      </c>
    </row>
    <row r="316" customFormat="false" ht="15" hidden="false" customHeight="false" outlineLevel="0" collapsed="false">
      <c r="A316" s="12" t="s">
        <v>289</v>
      </c>
      <c r="B316" s="13" t="n">
        <v>46278</v>
      </c>
      <c r="C316" s="12" t="str">
        <f aca="false">IF(A316="","",IFERROR(INDEX(Events!$D$2:$D$67,MATCH(A316,Events!$A$2:$A$67,0)),"Unknown event ID"))</f>
        <v>Polish Pairs &amp; Team Time Trial Championships</v>
      </c>
      <c r="D316" s="12" t="s">
        <v>407</v>
      </c>
      <c r="E316" s="12" t="s">
        <v>59</v>
      </c>
      <c r="F316" s="12" t="s">
        <v>88</v>
      </c>
      <c r="G316" s="12" t="n">
        <v>1</v>
      </c>
      <c r="H316" s="12" t="s">
        <v>366</v>
      </c>
      <c r="I316" s="12" t="s">
        <v>469</v>
      </c>
      <c r="J316" s="12" t="s">
        <v>409</v>
      </c>
      <c r="K316" s="12" t="str">
        <f aca="false">IF(A316="","",IFERROR(IF(INDEX(Events!$J$2:$J$67,MATCH(A316,Events!$A$2:$A$67,0))="Yes",IF(ISNUMBER(SEARCH("Criterium final",D316)),"No","Yes"),"No"),""))</f>
        <v>Yes</v>
      </c>
      <c r="L316" s="12"/>
      <c r="M316" s="12" t="n">
        <f aca="false">IF(OR(A316="",F316=""),0,IF(COUNTIFS($A$2:A316,A316,$F$2:F316,F316)=1,1,0))</f>
        <v>0</v>
      </c>
      <c r="N316" s="12" t="str">
        <f aca="false">IF(A316="","",IFERROR(INDEX(Events!$F$2:$F$67,MATCH(A316,Events!$A$2:$A$67,0)),""))</f>
        <v>POL</v>
      </c>
      <c r="O316" s="12" t="n">
        <f aca="false">IF(AND(G316=1,K316="Yes",N316="POL"),IF(COUNTIFS($A$2:A316,A316,$D$2:D316,D316,$E$2:E316,E316,$G$2:G316,1)=1,1,0),0)</f>
        <v>0</v>
      </c>
      <c r="P316" s="12" t="n">
        <f aca="false">IF(AND(ISNUMBER(G316),K316="Yes",N316="POL"),IF(AND(G316&gt;=1,G316&lt;=3,COUNTIFS($A$2:A316,A316,$D$2:D316,D316,$E$2:E316,E316,$G$2:G316,G316)=1),1,0),0)</f>
        <v>0</v>
      </c>
    </row>
    <row r="317" customFormat="false" ht="15" hidden="false" customHeight="false" outlineLevel="0" collapsed="false">
      <c r="A317" s="12" t="s">
        <v>289</v>
      </c>
      <c r="B317" s="13" t="n">
        <v>46278</v>
      </c>
      <c r="C317" s="12" t="str">
        <f aca="false">IF(A317="","",IFERROR(INDEX(Events!$D$2:$D$67,MATCH(A317,Events!$A$2:$A$67,0)),"Unknown event ID"))</f>
        <v>Polish Pairs &amp; Team Time Trial Championships</v>
      </c>
      <c r="D317" s="12" t="s">
        <v>407</v>
      </c>
      <c r="E317" s="12" t="s">
        <v>66</v>
      </c>
      <c r="F317" s="12" t="s">
        <v>88</v>
      </c>
      <c r="G317" s="12" t="n">
        <v>1</v>
      </c>
      <c r="H317" s="12" t="s">
        <v>366</v>
      </c>
      <c r="I317" s="12" t="s">
        <v>469</v>
      </c>
      <c r="J317" s="12" t="s">
        <v>409</v>
      </c>
      <c r="K317" s="12" t="str">
        <f aca="false">IF(A317="","",IFERROR(IF(INDEX(Events!$J$2:$J$67,MATCH(A317,Events!$A$2:$A$67,0))="Yes",IF(ISNUMBER(SEARCH("Criterium final",D317)),"No","Yes"),"No"),""))</f>
        <v>Yes</v>
      </c>
      <c r="L317" s="12"/>
      <c r="M317" s="12" t="n">
        <f aca="false">IF(OR(A317="",F317=""),0,IF(COUNTIFS($A$2:A317,A317,$F$2:F317,F317)=1,1,0))</f>
        <v>0</v>
      </c>
      <c r="N317" s="12" t="str">
        <f aca="false">IF(A317="","",IFERROR(INDEX(Events!$F$2:$F$67,MATCH(A317,Events!$A$2:$A$67,0)),""))</f>
        <v>POL</v>
      </c>
      <c r="O317" s="12" t="n">
        <f aca="false">IF(AND(G317=1,K317="Yes",N317="POL"),IF(COUNTIFS($A$2:A317,A317,$D$2:D317,D317,$E$2:E317,E317,$G$2:G317,1)=1,1,0),0)</f>
        <v>0</v>
      </c>
      <c r="P317" s="12" t="n">
        <f aca="false">IF(AND(ISNUMBER(G317),K317="Yes",N317="POL"),IF(AND(G317&gt;=1,G317&lt;=3,COUNTIFS($A$2:A317,A317,$D$2:D317,D317,$E$2:E317,E317,$G$2:G317,G317)=1),1,0),0)</f>
        <v>0</v>
      </c>
    </row>
    <row r="318" customFormat="false" ht="15" hidden="false" customHeight="false" outlineLevel="0" collapsed="false">
      <c r="A318" s="12" t="s">
        <v>146</v>
      </c>
      <c r="B318" s="13" t="n">
        <v>46033</v>
      </c>
      <c r="C318" s="12" t="str">
        <f aca="false">IF(A318="","",IFERROR(INDEX(Events!$D$2:$D$67,MATCH(A318,Events!$A$2:$A$67,0)),"Unknown event ID"))</f>
        <v>Przełajowe Mistrzostwa Polski (Polish CX Championships)</v>
      </c>
      <c r="D318" s="12" t="s">
        <v>437</v>
      </c>
      <c r="E318" s="12" t="s">
        <v>470</v>
      </c>
      <c r="F318" s="12" t="s">
        <v>91</v>
      </c>
      <c r="G318" s="12" t="n">
        <v>7</v>
      </c>
      <c r="H318" s="12" t="s">
        <v>366</v>
      </c>
      <c r="I318" s="12"/>
      <c r="J318" s="12" t="s">
        <v>93</v>
      </c>
      <c r="K318" s="12" t="str">
        <f aca="false">IF(A318="","",IFERROR(IF(INDEX(Events!$J$2:$J$67,MATCH(A318,Events!$A$2:$A$67,0))="Yes",IF(ISNUMBER(SEARCH("Criterium final",D318)),"No","Yes"),"No"),""))</f>
        <v>Yes</v>
      </c>
      <c r="L318" s="12"/>
      <c r="M318" s="12" t="n">
        <f aca="false">IF(OR(A318="",F318=""),0,IF(COUNTIFS($A$2:A318,A318,$F$2:F318,F318)=1,1,0))</f>
        <v>1</v>
      </c>
      <c r="N318" s="12" t="str">
        <f aca="false">IF(A318="","",IFERROR(INDEX(Events!$F$2:$F$67,MATCH(A318,Events!$A$2:$A$67,0)),""))</f>
        <v>POL</v>
      </c>
      <c r="O318" s="12" t="n">
        <f aca="false">IF(AND(G318=1,K318="Yes",N318="POL"),IF(COUNTIFS($A$2:A318,A318,$D$2:D318,D318,$E$2:E318,E318,$G$2:G318,1)=1,1,0),0)</f>
        <v>0</v>
      </c>
      <c r="P318" s="12" t="n">
        <f aca="false">IF(AND(ISNUMBER(G318),K318="Yes",N318="POL"),IF(AND(G318&gt;=1,G318&lt;=3,COUNTIFS($A$2:A318,A318,$D$2:D318,D318,$E$2:E318,E318,$G$2:G318,G318)=1),1,0),0)</f>
        <v>0</v>
      </c>
    </row>
    <row r="319" customFormat="false" ht="15" hidden="false" customHeight="false" outlineLevel="0" collapsed="false">
      <c r="A319" s="12" t="s">
        <v>164</v>
      </c>
      <c r="B319" s="13" t="n">
        <v>46075</v>
      </c>
      <c r="C319" s="12" t="str">
        <f aca="false">IF(A319="","",IFERROR(INDEX(Events!$D$2:$D$67,MATCH(A319,Events!$A$2:$A$67,0)),"Unknown event ID"))</f>
        <v>Polish Cup (track) – Puchar Polski</v>
      </c>
      <c r="D319" s="12" t="s">
        <v>370</v>
      </c>
      <c r="E319" s="12" t="s">
        <v>428</v>
      </c>
      <c r="F319" s="12" t="s">
        <v>91</v>
      </c>
      <c r="G319" s="12" t="n">
        <v>1</v>
      </c>
      <c r="H319" s="12" t="s">
        <v>366</v>
      </c>
      <c r="I319" s="12" t="s">
        <v>471</v>
      </c>
      <c r="J319" s="12" t="s">
        <v>472</v>
      </c>
      <c r="K319" s="12" t="str">
        <f aca="false">IF(A319="","",IFERROR(IF(INDEX(Events!$J$2:$J$67,MATCH(A319,Events!$A$2:$A$67,0))="Yes",IF(ISNUMBER(SEARCH("Criterium final",D319)),"No","Yes"),"No"),""))</f>
        <v>No</v>
      </c>
      <c r="L319" s="12"/>
      <c r="M319" s="12" t="n">
        <f aca="false">IF(OR(A319="",F319=""),0,IF(COUNTIFS($A$2:A319,A319,$F$2:F319,F319)=1,1,0))</f>
        <v>1</v>
      </c>
      <c r="N319" s="12" t="str">
        <f aca="false">IF(A319="","",IFERROR(INDEX(Events!$F$2:$F$67,MATCH(A319,Events!$A$2:$A$67,0)),""))</f>
        <v>POL</v>
      </c>
      <c r="O319" s="12" t="n">
        <f aca="false">IF(AND(G319=1,K319="Yes",N319="POL"),IF(COUNTIFS($A$2:A319,A319,$D$2:D319,D319,$E$2:E319,E319,$G$2:G319,1)=1,1,0),0)</f>
        <v>0</v>
      </c>
      <c r="P319" s="12" t="n">
        <f aca="false">IF(AND(ISNUMBER(G319),K319="Yes",N319="POL"),IF(AND(G319&gt;=1,G319&lt;=3,COUNTIFS($A$2:A319,A319,$D$2:D319,D319,$E$2:E319,E319,$G$2:G319,G319)=1),1,0),0)</f>
        <v>0</v>
      </c>
    </row>
    <row r="320" customFormat="false" ht="15" hidden="false" customHeight="false" outlineLevel="0" collapsed="false">
      <c r="A320" s="12" t="s">
        <v>174</v>
      </c>
      <c r="B320" s="13" t="n">
        <v>46103</v>
      </c>
      <c r="C320" s="12" t="str">
        <f aca="false">IF(A320="","",IFERROR(INDEX(Events!$D$2:$D$67,MATCH(A320,Events!$A$2:$A$67,0)),"Unknown event ID"))</f>
        <v>Midwest Cycling Classic</v>
      </c>
      <c r="D320" s="12" t="s">
        <v>365</v>
      </c>
      <c r="E320" s="12" t="s">
        <v>59</v>
      </c>
      <c r="F320" s="12" t="s">
        <v>91</v>
      </c>
      <c r="G320" s="12"/>
      <c r="H320" s="12" t="s">
        <v>33</v>
      </c>
      <c r="I320" s="12"/>
      <c r="J320" s="12" t="s">
        <v>93</v>
      </c>
      <c r="K320" s="12" t="str">
        <f aca="false">IF(A320="","",IFERROR(IF(INDEX(Events!$J$2:$J$67,MATCH(A320,Events!$A$2:$A$67,0))="Yes",IF(ISNUMBER(SEARCH("Criterium final",D320)),"No","Yes"),"No"),""))</f>
        <v>No</v>
      </c>
      <c r="L320" s="12"/>
      <c r="M320" s="12" t="n">
        <f aca="false">IF(OR(A320="",F320=""),0,IF(COUNTIFS($A$2:A320,A320,$F$2:F320,F320)=1,1,0))</f>
        <v>1</v>
      </c>
      <c r="N320" s="12" t="str">
        <f aca="false">IF(A320="","",IFERROR(INDEX(Events!$F$2:$F$67,MATCH(A320,Events!$A$2:$A$67,0)),""))</f>
        <v>BEL</v>
      </c>
      <c r="O320" s="12" t="n">
        <f aca="false">IF(AND(G320=1,K320="Yes",N320="POL"),IF(COUNTIFS($A$2:A320,A320,$D$2:D320,D320,$E$2:E320,E320,$G$2:G320,1)=1,1,0),0)</f>
        <v>0</v>
      </c>
      <c r="P320" s="12" t="n">
        <f aca="false">IF(AND(ISNUMBER(G320),K320="Yes",N320="POL"),IF(AND(G320&gt;=1,G320&lt;=3,COUNTIFS($A$2:A320,A320,$D$2:D320,D320,$E$2:E320,E320,$G$2:G320,G320)=1),1,0),0)</f>
        <v>0</v>
      </c>
    </row>
    <row r="321" customFormat="false" ht="15" hidden="false" customHeight="false" outlineLevel="0" collapsed="false">
      <c r="A321" s="12" t="s">
        <v>235</v>
      </c>
      <c r="B321" s="13" t="n">
        <v>46180</v>
      </c>
      <c r="C321" s="12" t="str">
        <f aca="false">IF(A321="","",IFERROR(INDEX(Events!$D$2:$D$67,MATCH(A321,Events!$A$2:$A$67,0)),"Unknown event ID"))</f>
        <v>Dwars door de Westhoek</v>
      </c>
      <c r="D321" s="12" t="s">
        <v>365</v>
      </c>
      <c r="E321" s="12" t="s">
        <v>59</v>
      </c>
      <c r="F321" s="12" t="s">
        <v>91</v>
      </c>
      <c r="G321" s="12"/>
      <c r="H321" s="12" t="s">
        <v>33</v>
      </c>
      <c r="I321" s="12"/>
      <c r="J321" s="12" t="s">
        <v>93</v>
      </c>
      <c r="K321" s="12" t="str">
        <f aca="false">IF(A321="","",IFERROR(IF(INDEX(Events!$J$2:$J$67,MATCH(A321,Events!$A$2:$A$67,0))="Yes",IF(ISNUMBER(SEARCH("Criterium final",D321)),"No","Yes"),"No"),""))</f>
        <v>No</v>
      </c>
      <c r="L321" s="12"/>
      <c r="M321" s="12" t="n">
        <f aca="false">IF(OR(A321="",F321=""),0,IF(COUNTIFS($A$2:A321,A321,$F$2:F321,F321)=1,1,0))</f>
        <v>1</v>
      </c>
      <c r="N321" s="12" t="str">
        <f aca="false">IF(A321="","",IFERROR(INDEX(Events!$F$2:$F$67,MATCH(A321,Events!$A$2:$A$67,0)),""))</f>
        <v>BEL</v>
      </c>
      <c r="O321" s="12" t="n">
        <f aca="false">IF(AND(G321=1,K321="Yes",N321="POL"),IF(COUNTIFS($A$2:A321,A321,$D$2:D321,D321,$E$2:E321,E321,$G$2:G321,1)=1,1,0),0)</f>
        <v>0</v>
      </c>
      <c r="P321" s="12" t="n">
        <f aca="false">IF(AND(ISNUMBER(G321),K321="Yes",N321="POL"),IF(AND(G321&gt;=1,G321&lt;=3,COUNTIFS($A$2:A321,A321,$D$2:D321,D321,$E$2:E321,E321,$G$2:G321,G321)=1),1,0),0)</f>
        <v>0</v>
      </c>
    </row>
    <row r="322" customFormat="false" ht="15" hidden="false" customHeight="false" outlineLevel="0" collapsed="false">
      <c r="A322" s="12" t="s">
        <v>246</v>
      </c>
      <c r="B322" s="13" t="n">
        <v>46198</v>
      </c>
      <c r="C322" s="12" t="str">
        <f aca="false">IF(A322="","",IFERROR(INDEX(Events!$D$2:$D$67,MATCH(A322,Events!$A$2:$A$67,0)),"Unknown event ID"))</f>
        <v>Polish Road Championships (ITT + road race)</v>
      </c>
      <c r="D322" s="12" t="s">
        <v>387</v>
      </c>
      <c r="E322" s="12" t="s">
        <v>66</v>
      </c>
      <c r="F322" s="12" t="s">
        <v>91</v>
      </c>
      <c r="G322" s="12" t="n">
        <v>20</v>
      </c>
      <c r="H322" s="12" t="s">
        <v>366</v>
      </c>
      <c r="I322" s="12"/>
      <c r="J322" s="12" t="s">
        <v>93</v>
      </c>
      <c r="K322" s="12" t="str">
        <f aca="false">IF(A322="","",IFERROR(IF(INDEX(Events!$J$2:$J$67,MATCH(A322,Events!$A$2:$A$67,0))="Yes",IF(ISNUMBER(SEARCH("Criterium final",D322)),"No","Yes"),"No"),""))</f>
        <v>Yes</v>
      </c>
      <c r="L322" s="12"/>
      <c r="M322" s="12" t="n">
        <f aca="false">IF(OR(A322="",F322=""),0,IF(COUNTIFS($A$2:A322,A322,$F$2:F322,F322)=1,1,0))</f>
        <v>1</v>
      </c>
      <c r="N322" s="12" t="str">
        <f aca="false">IF(A322="","",IFERROR(INDEX(Events!$F$2:$F$67,MATCH(A322,Events!$A$2:$A$67,0)),""))</f>
        <v>POL</v>
      </c>
      <c r="O322" s="12" t="n">
        <f aca="false">IF(AND(G322=1,K322="Yes",N322="POL"),IF(COUNTIFS($A$2:A322,A322,$D$2:D322,D322,$E$2:E322,E322,$G$2:G322,1)=1,1,0),0)</f>
        <v>0</v>
      </c>
      <c r="P322" s="12" t="n">
        <f aca="false">IF(AND(ISNUMBER(G322),K322="Yes",N322="POL"),IF(AND(G322&gt;=1,G322&lt;=3,COUNTIFS($A$2:A322,A322,$D$2:D322,D322,$E$2:E322,E322,$G$2:G322,G322)=1),1,0),0)</f>
        <v>0</v>
      </c>
    </row>
    <row r="323" customFormat="false" ht="15" hidden="false" customHeight="false" outlineLevel="0" collapsed="false">
      <c r="A323" s="12" t="s">
        <v>246</v>
      </c>
      <c r="B323" s="13" t="n">
        <v>46200</v>
      </c>
      <c r="C323" s="12" t="str">
        <f aca="false">IF(A323="","",IFERROR(INDEX(Events!$D$2:$D$67,MATCH(A323,Events!$A$2:$A$67,0)),"Unknown event ID"))</f>
        <v>Polish Road Championships (ITT + road race)</v>
      </c>
      <c r="D323" s="12" t="s">
        <v>367</v>
      </c>
      <c r="E323" s="12" t="s">
        <v>59</v>
      </c>
      <c r="F323" s="12" t="s">
        <v>91</v>
      </c>
      <c r="G323" s="12" t="n">
        <v>16</v>
      </c>
      <c r="H323" s="12" t="s">
        <v>366</v>
      </c>
      <c r="I323" s="12"/>
      <c r="J323" s="12" t="s">
        <v>93</v>
      </c>
      <c r="K323" s="12" t="str">
        <f aca="false">IF(A323="","",IFERROR(IF(INDEX(Events!$J$2:$J$67,MATCH(A323,Events!$A$2:$A$67,0))="Yes",IF(ISNUMBER(SEARCH("Criterium final",D323)),"No","Yes"),"No"),""))</f>
        <v>Yes</v>
      </c>
      <c r="L323" s="12"/>
      <c r="M323" s="12" t="n">
        <f aca="false">IF(OR(A323="",F323=""),0,IF(COUNTIFS($A$2:A323,A323,$F$2:F323,F323)=1,1,0))</f>
        <v>0</v>
      </c>
      <c r="N323" s="12" t="str">
        <f aca="false">IF(A323="","",IFERROR(INDEX(Events!$F$2:$F$67,MATCH(A323,Events!$A$2:$A$67,0)),""))</f>
        <v>POL</v>
      </c>
      <c r="O323" s="12" t="n">
        <f aca="false">IF(AND(G323=1,K323="Yes",N323="POL"),IF(COUNTIFS($A$2:A323,A323,$D$2:D323,D323,$E$2:E323,E323,$G$2:G323,1)=1,1,0),0)</f>
        <v>0</v>
      </c>
      <c r="P323" s="12" t="n">
        <f aca="false">IF(AND(ISNUMBER(G323),K323="Yes",N323="POL"),IF(AND(G323&gt;=1,G323&lt;=3,COUNTIFS($A$2:A323,A323,$D$2:D323,D323,$E$2:E323,E323,$G$2:G323,G323)=1),1,0),0)</f>
        <v>0</v>
      </c>
    </row>
    <row r="324" customFormat="false" ht="15" hidden="false" customHeight="false" outlineLevel="0" collapsed="false">
      <c r="A324" s="12" t="s">
        <v>249</v>
      </c>
      <c r="B324" s="13" t="n">
        <v>46210</v>
      </c>
      <c r="C324" s="12" t="str">
        <f aca="false">IF(A324="","",IFERROR(INDEX(Events!$D$2:$D$67,MATCH(A324,Events!$A$2:$A$67,0)),"Unknown event ID"))</f>
        <v>UEC Track Junior &amp; U23 European Championships</v>
      </c>
      <c r="D324" s="12" t="s">
        <v>380</v>
      </c>
      <c r="E324" s="12" t="s">
        <v>66</v>
      </c>
      <c r="F324" s="12" t="s">
        <v>91</v>
      </c>
      <c r="G324" s="12" t="n">
        <v>9</v>
      </c>
      <c r="H324" s="12" t="s">
        <v>366</v>
      </c>
      <c r="I324" s="12"/>
      <c r="J324" s="12" t="s">
        <v>410</v>
      </c>
      <c r="K324" s="12" t="str">
        <f aca="false">IF(A324="","",IFERROR(IF(INDEX(Events!$J$2:$J$67,MATCH(A324,Events!$A$2:$A$67,0))="Yes",IF(ISNUMBER(SEARCH("Criterium final",D324)),"No","Yes"),"No"),""))</f>
        <v>No</v>
      </c>
      <c r="L324" s="12"/>
      <c r="M324" s="12" t="n">
        <f aca="false">IF(OR(A324="",F324=""),0,IF(COUNTIFS($A$2:A324,A324,$F$2:F324,F324)=1,1,0))</f>
        <v>1</v>
      </c>
      <c r="N324" s="12" t="str">
        <f aca="false">IF(A324="","",IFERROR(INDEX(Events!$F$2:$F$67,MATCH(A324,Events!$A$2:$A$67,0)),""))</f>
        <v>GER</v>
      </c>
      <c r="O324" s="12" t="n">
        <f aca="false">IF(AND(G324=1,K324="Yes",N324="POL"),IF(COUNTIFS($A$2:A324,A324,$D$2:D324,D324,$E$2:E324,E324,$G$2:G324,1)=1,1,0),0)</f>
        <v>0</v>
      </c>
      <c r="P324" s="12" t="n">
        <f aca="false">IF(AND(ISNUMBER(G324),K324="Yes",N324="POL"),IF(AND(G324&gt;=1,G324&lt;=3,COUNTIFS($A$2:A324,A324,$D$2:D324,D324,$E$2:E324,E324,$G$2:G324,G324)=1),1,0),0)</f>
        <v>0</v>
      </c>
    </row>
    <row r="325" customFormat="false" ht="15" hidden="false" customHeight="false" outlineLevel="0" collapsed="false">
      <c r="A325" s="12" t="s">
        <v>249</v>
      </c>
      <c r="B325" s="13" t="n">
        <v>46213</v>
      </c>
      <c r="C325" s="12" t="str">
        <f aca="false">IF(A325="","",IFERROR(INDEX(Events!$D$2:$D$67,MATCH(A325,Events!$A$2:$A$67,0)),"Unknown event ID"))</f>
        <v>UEC Track Junior &amp; U23 European Championships</v>
      </c>
      <c r="D325" s="12" t="s">
        <v>404</v>
      </c>
      <c r="E325" s="12" t="s">
        <v>66</v>
      </c>
      <c r="F325" s="12" t="s">
        <v>91</v>
      </c>
      <c r="G325" s="12" t="n">
        <v>8</v>
      </c>
      <c r="H325" s="12" t="s">
        <v>366</v>
      </c>
      <c r="I325" s="12"/>
      <c r="J325" s="12" t="s">
        <v>400</v>
      </c>
      <c r="K325" s="12" t="str">
        <f aca="false">IF(A325="","",IFERROR(IF(INDEX(Events!$J$2:$J$67,MATCH(A325,Events!$A$2:$A$67,0))="Yes",IF(ISNUMBER(SEARCH("Criterium final",D325)),"No","Yes"),"No"),""))</f>
        <v>No</v>
      </c>
      <c r="L325" s="12"/>
      <c r="M325" s="12" t="n">
        <f aca="false">IF(OR(A325="",F325=""),0,IF(COUNTIFS($A$2:A325,A325,$F$2:F325,F325)=1,1,0))</f>
        <v>0</v>
      </c>
      <c r="N325" s="12" t="str">
        <f aca="false">IF(A325="","",IFERROR(INDEX(Events!$F$2:$F$67,MATCH(A325,Events!$A$2:$A$67,0)),""))</f>
        <v>GER</v>
      </c>
      <c r="O325" s="12" t="n">
        <f aca="false">IF(AND(G325=1,K325="Yes",N325="POL"),IF(COUNTIFS($A$2:A325,A325,$D$2:D325,D325,$E$2:E325,E325,$G$2:G325,1)=1,1,0),0)</f>
        <v>0</v>
      </c>
      <c r="P325" s="12" t="n">
        <f aca="false">IF(AND(ISNUMBER(G325),K325="Yes",N325="POL"),IF(AND(G325&gt;=1,G325&lt;=3,COUNTIFS($A$2:A325,A325,$D$2:D325,D325,$E$2:E325,E325,$G$2:G325,G325)=1),1,0),0)</f>
        <v>0</v>
      </c>
    </row>
    <row r="326" customFormat="false" ht="15" hidden="false" customHeight="false" outlineLevel="0" collapsed="false">
      <c r="A326" s="12" t="s">
        <v>270</v>
      </c>
      <c r="B326" s="13" t="n">
        <v>46235</v>
      </c>
      <c r="C326" s="12" t="str">
        <f aca="false">IF(A326="","",IFERROR(INDEX(Events!$D$2:$D$67,MATCH(A326,Events!$A$2:$A$67,0)),"Unknown event ID"))</f>
        <v>Polish Elite Track Championships</v>
      </c>
      <c r="D326" s="12" t="s">
        <v>369</v>
      </c>
      <c r="E326" s="12" t="s">
        <v>59</v>
      </c>
      <c r="F326" s="12" t="s">
        <v>91</v>
      </c>
      <c r="G326" s="12" t="n">
        <v>1</v>
      </c>
      <c r="H326" s="12" t="s">
        <v>366</v>
      </c>
      <c r="I326" s="12" t="s">
        <v>473</v>
      </c>
      <c r="J326" s="12" t="s">
        <v>379</v>
      </c>
      <c r="K326" s="12" t="str">
        <f aca="false">IF(A326="","",IFERROR(IF(INDEX(Events!$J$2:$J$67,MATCH(A326,Events!$A$2:$A$67,0))="Yes",IF(ISNUMBER(SEARCH("Criterium final",D326)),"No","Yes"),"No"),""))</f>
        <v>Yes</v>
      </c>
      <c r="L326" s="12"/>
      <c r="M326" s="12" t="n">
        <f aca="false">IF(OR(A326="",F326=""),0,IF(COUNTIFS($A$2:A326,A326,$F$2:F326,F326)=1,1,0))</f>
        <v>1</v>
      </c>
      <c r="N326" s="12" t="str">
        <f aca="false">IF(A326="","",IFERROR(INDEX(Events!$F$2:$F$67,MATCH(A326,Events!$A$2:$A$67,0)),""))</f>
        <v>POL</v>
      </c>
      <c r="O326" s="12" t="n">
        <f aca="false">IF(AND(G326=1,K326="Yes",N326="POL"),IF(COUNTIFS($A$2:A326,A326,$D$2:D326,D326,$E$2:E326,E326,$G$2:G326,1)=1,1,0),0)</f>
        <v>0</v>
      </c>
      <c r="P326" s="12" t="n">
        <f aca="false">IF(AND(ISNUMBER(G326),K326="Yes",N326="POL"),IF(AND(G326&gt;=1,G326&lt;=3,COUNTIFS($A$2:A326,A326,$D$2:D326,D326,$E$2:E326,E326,$G$2:G326,G326)=1),1,0),0)</f>
        <v>0</v>
      </c>
    </row>
    <row r="327" customFormat="false" ht="15" hidden="false" customHeight="false" outlineLevel="0" collapsed="false">
      <c r="A327" s="12" t="s">
        <v>270</v>
      </c>
      <c r="B327" s="13" t="n">
        <v>46237</v>
      </c>
      <c r="C327" s="12" t="str">
        <f aca="false">IF(A327="","",IFERROR(INDEX(Events!$D$2:$D$67,MATCH(A327,Events!$A$2:$A$67,0)),"Unknown event ID"))</f>
        <v>Polish Elite Track Championships</v>
      </c>
      <c r="D327" s="12" t="s">
        <v>370</v>
      </c>
      <c r="E327" s="12" t="s">
        <v>59</v>
      </c>
      <c r="F327" s="12" t="s">
        <v>91</v>
      </c>
      <c r="G327" s="12" t="n">
        <v>1</v>
      </c>
      <c r="H327" s="12" t="s">
        <v>366</v>
      </c>
      <c r="I327" s="12" t="s">
        <v>411</v>
      </c>
      <c r="J327" s="12" t="s">
        <v>383</v>
      </c>
      <c r="K327" s="12" t="str">
        <f aca="false">IF(A327="","",IFERROR(IF(INDEX(Events!$J$2:$J$67,MATCH(A327,Events!$A$2:$A$67,0))="Yes",IF(ISNUMBER(SEARCH("Criterium final",D327)),"No","Yes"),"No"),""))</f>
        <v>Yes</v>
      </c>
      <c r="L327" s="12"/>
      <c r="M327" s="12" t="n">
        <f aca="false">IF(OR(A327="",F327=""),0,IF(COUNTIFS($A$2:A327,A327,$F$2:F327,F327)=1,1,0))</f>
        <v>0</v>
      </c>
      <c r="N327" s="12" t="str">
        <f aca="false">IF(A327="","",IFERROR(INDEX(Events!$F$2:$F$67,MATCH(A327,Events!$A$2:$A$67,0)),""))</f>
        <v>POL</v>
      </c>
      <c r="O327" s="12" t="n">
        <f aca="false">IF(AND(G327=1,K327="Yes",N327="POL"),IF(COUNTIFS($A$2:A327,A327,$D$2:D327,D327,$E$2:E327,E327,$G$2:G327,1)=1,1,0),0)</f>
        <v>0</v>
      </c>
      <c r="P327" s="12" t="n">
        <f aca="false">IF(AND(ISNUMBER(G327),K327="Yes",N327="POL"),IF(AND(G327&gt;=1,G327&lt;=3,COUNTIFS($A$2:A327,A327,$D$2:D327,D327,$E$2:E327,E327,$G$2:G327,G327)=1),1,0),0)</f>
        <v>0</v>
      </c>
    </row>
    <row r="328" customFormat="false" ht="15" hidden="false" customHeight="false" outlineLevel="0" collapsed="false">
      <c r="A328" s="12" t="s">
        <v>339</v>
      </c>
      <c r="B328" s="13" t="n">
        <v>46254</v>
      </c>
      <c r="C328" s="12" t="str">
        <f aca="false">IF(A328="","",IFERROR(INDEX(Events!$D$2:$D$67,MATCH(A328,Events!$A$2:$A$67,0)),"Unknown event ID"))</f>
        <v>GP Lucien Van Impe</v>
      </c>
      <c r="D328" s="12" t="s">
        <v>365</v>
      </c>
      <c r="E328" s="12" t="s">
        <v>59</v>
      </c>
      <c r="F328" s="12" t="s">
        <v>91</v>
      </c>
      <c r="G328" s="12"/>
      <c r="H328" s="12" t="s">
        <v>33</v>
      </c>
      <c r="I328" s="12"/>
      <c r="J328" s="12" t="s">
        <v>93</v>
      </c>
      <c r="K328" s="12" t="str">
        <f aca="false">IF(A328="","",IFERROR(IF(INDEX(Events!$J$2:$J$67,MATCH(A328,Events!$A$2:$A$67,0))="Yes",IF(ISNUMBER(SEARCH("Criterium final",D328)),"No","Yes"),"No"),""))</f>
        <v>No</v>
      </c>
      <c r="L328" s="12"/>
      <c r="M328" s="12" t="n">
        <f aca="false">IF(OR(A328="",F328=""),0,IF(COUNTIFS($A$2:A328,A328,$F$2:F328,F328)=1,1,0))</f>
        <v>1</v>
      </c>
      <c r="N328" s="12" t="str">
        <f aca="false">IF(A328="","",IFERROR(INDEX(Events!$F$2:$F$67,MATCH(A328,Events!$A$2:$A$67,0)),""))</f>
        <v>BEL</v>
      </c>
      <c r="O328" s="12" t="n">
        <f aca="false">IF(AND(G328=1,K328="Yes",N328="POL"),IF(COUNTIFS($A$2:A328,A328,$D$2:D328,D328,$E$2:E328,E328,$G$2:G328,1)=1,1,0),0)</f>
        <v>0</v>
      </c>
      <c r="P328" s="12" t="n">
        <f aca="false">IF(AND(ISNUMBER(G328),K328="Yes",N328="POL"),IF(AND(G328&gt;=1,G328&lt;=3,COUNTIFS($A$2:A328,A328,$D$2:D328,D328,$E$2:E328,E328,$G$2:G328,G328)=1),1,0),0)</f>
        <v>0</v>
      </c>
    </row>
    <row r="329" customFormat="false" ht="15" hidden="false" customHeight="false" outlineLevel="0" collapsed="false">
      <c r="A329" s="12" t="s">
        <v>341</v>
      </c>
      <c r="B329" s="13" t="n">
        <v>46255</v>
      </c>
      <c r="C329" s="12" t="str">
        <f aca="false">IF(A329="","",IFERROR(INDEX(Events!$D$2:$D$67,MATCH(A329,Events!$A$2:$A$67,0)),"Unknown event ID"))</f>
        <v>Konvert Kortrijk Koerse</v>
      </c>
      <c r="D329" s="12" t="s">
        <v>365</v>
      </c>
      <c r="E329" s="12" t="s">
        <v>59</v>
      </c>
      <c r="F329" s="12" t="s">
        <v>91</v>
      </c>
      <c r="G329" s="12" t="n">
        <v>46</v>
      </c>
      <c r="H329" s="12" t="s">
        <v>366</v>
      </c>
      <c r="I329" s="12"/>
      <c r="J329" s="12" t="s">
        <v>93</v>
      </c>
      <c r="K329" s="12" t="str">
        <f aca="false">IF(A329="","",IFERROR(IF(INDEX(Events!$J$2:$J$67,MATCH(A329,Events!$A$2:$A$67,0))="Yes",IF(ISNUMBER(SEARCH("Criterium final",D329)),"No","Yes"),"No"),""))</f>
        <v>No</v>
      </c>
      <c r="L329" s="12"/>
      <c r="M329" s="12" t="n">
        <f aca="false">IF(OR(A329="",F329=""),0,IF(COUNTIFS($A$2:A329,A329,$F$2:F329,F329)=1,1,0))</f>
        <v>1</v>
      </c>
      <c r="N329" s="12" t="str">
        <f aca="false">IF(A329="","",IFERROR(INDEX(Events!$F$2:$F$67,MATCH(A329,Events!$A$2:$A$67,0)),""))</f>
        <v>BEL</v>
      </c>
      <c r="O329" s="12" t="n">
        <f aca="false">IF(AND(G329=1,K329="Yes",N329="POL"),IF(COUNTIFS($A$2:A329,A329,$D$2:D329,D329,$E$2:E329,E329,$G$2:G329,1)=1,1,0),0)</f>
        <v>0</v>
      </c>
      <c r="P329" s="12" t="n">
        <f aca="false">IF(AND(ISNUMBER(G329),K329="Yes",N329="POL"),IF(AND(G329&gt;=1,G329&lt;=3,COUNTIFS($A$2:A329,A329,$D$2:D329,D329,$E$2:E329,E329,$G$2:G329,G329)=1),1,0),0)</f>
        <v>0</v>
      </c>
    </row>
    <row r="330" customFormat="false" ht="15" hidden="false" customHeight="false" outlineLevel="0" collapsed="false">
      <c r="A330" s="12" t="s">
        <v>285</v>
      </c>
      <c r="B330" s="13" t="n">
        <v>46271</v>
      </c>
      <c r="C330" s="12" t="str">
        <f aca="false">IF(A330="","",IFERROR(INDEX(Events!$D$2:$D$67,MATCH(A330,Events!$A$2:$A$67,0)),"Unknown event ID"))</f>
        <v>55. Ogólnopolskie Kryterium Kolarskie</v>
      </c>
      <c r="D330" s="12" t="s">
        <v>433</v>
      </c>
      <c r="E330" s="12" t="s">
        <v>66</v>
      </c>
      <c r="F330" s="12" t="s">
        <v>91</v>
      </c>
      <c r="G330" s="12" t="n">
        <v>2</v>
      </c>
      <c r="H330" s="12" t="s">
        <v>366</v>
      </c>
      <c r="I330" s="12"/>
      <c r="J330" s="12" t="s">
        <v>461</v>
      </c>
      <c r="K330" s="12" t="str">
        <f aca="false">IF(A330="","",IFERROR(IF(INDEX(Events!$J$2:$J$67,MATCH(A330,Events!$A$2:$A$67,0))="Yes",IF(ISNUMBER(SEARCH("Criterium final",D330)),"No","Yes"),"No"),""))</f>
        <v>No</v>
      </c>
      <c r="L330" s="12"/>
      <c r="M330" s="12" t="n">
        <f aca="false">IF(OR(A330="",F330=""),0,IF(COUNTIFS($A$2:A330,A330,$F$2:F330,F330)=1,1,0))</f>
        <v>1</v>
      </c>
      <c r="N330" s="12" t="str">
        <f aca="false">IF(A330="","",IFERROR(INDEX(Events!$F$2:$F$67,MATCH(A330,Events!$A$2:$A$67,0)),""))</f>
        <v>POL</v>
      </c>
      <c r="O330" s="12" t="n">
        <f aca="false">IF(AND(G330=1,K330="Yes",N330="POL"),IF(COUNTIFS($A$2:A330,A330,$D$2:D330,D330,$E$2:E330,E330,$G$2:G330,1)=1,1,0),0)</f>
        <v>0</v>
      </c>
      <c r="P330" s="12" t="n">
        <f aca="false">IF(AND(ISNUMBER(G330),K330="Yes",N330="POL"),IF(AND(G330&gt;=1,G330&lt;=3,COUNTIFS($A$2:A330,A330,$D$2:D330,D330,$E$2:E330,E330,$G$2:G330,G330)=1),1,0),0)</f>
        <v>0</v>
      </c>
    </row>
    <row r="331" customFormat="false" ht="15" hidden="false" customHeight="false" outlineLevel="0" collapsed="false">
      <c r="A331" s="12" t="s">
        <v>289</v>
      </c>
      <c r="B331" s="13" t="n">
        <v>46278</v>
      </c>
      <c r="C331" s="12" t="str">
        <f aca="false">IF(A331="","",IFERROR(INDEX(Events!$D$2:$D$67,MATCH(A331,Events!$A$2:$A$67,0)),"Unknown event ID"))</f>
        <v>Polish Pairs &amp; Team Time Trial Championships</v>
      </c>
      <c r="D331" s="12" t="s">
        <v>407</v>
      </c>
      <c r="E331" s="12" t="s">
        <v>59</v>
      </c>
      <c r="F331" s="12" t="s">
        <v>91</v>
      </c>
      <c r="G331" s="12" t="n">
        <v>3</v>
      </c>
      <c r="H331" s="12" t="s">
        <v>366</v>
      </c>
      <c r="I331" s="12" t="s">
        <v>474</v>
      </c>
      <c r="J331" s="12" t="s">
        <v>409</v>
      </c>
      <c r="K331" s="12" t="str">
        <f aca="false">IF(A331="","",IFERROR(IF(INDEX(Events!$J$2:$J$67,MATCH(A331,Events!$A$2:$A$67,0))="Yes",IF(ISNUMBER(SEARCH("Criterium final",D331)),"No","Yes"),"No"),""))</f>
        <v>Yes</v>
      </c>
      <c r="L331" s="12"/>
      <c r="M331" s="12" t="n">
        <f aca="false">IF(OR(A331="",F331=""),0,IF(COUNTIFS($A$2:A331,A331,$F$2:F331,F331)=1,1,0))</f>
        <v>1</v>
      </c>
      <c r="N331" s="12" t="str">
        <f aca="false">IF(A331="","",IFERROR(INDEX(Events!$F$2:$F$67,MATCH(A331,Events!$A$2:$A$67,0)),""))</f>
        <v>POL</v>
      </c>
      <c r="O331" s="12" t="n">
        <f aca="false">IF(AND(G331=1,K331="Yes",N331="POL"),IF(COUNTIFS($A$2:A331,A331,$D$2:D331,D331,$E$2:E331,E331,$G$2:G331,1)=1,1,0),0)</f>
        <v>0</v>
      </c>
      <c r="P331" s="12" t="n">
        <f aca="false">IF(AND(ISNUMBER(G331),K331="Yes",N331="POL"),IF(AND(G331&gt;=1,G331&lt;=3,COUNTIFS($A$2:A331,A331,$D$2:D331,D331,$E$2:E331,E331,$G$2:G331,G331)=1),1,0),0)</f>
        <v>0</v>
      </c>
    </row>
    <row r="332" customFormat="false" ht="15" hidden="false" customHeight="false" outlineLevel="0" collapsed="false">
      <c r="A332" s="12" t="s">
        <v>289</v>
      </c>
      <c r="B332" s="13" t="n">
        <v>46278</v>
      </c>
      <c r="C332" s="12" t="str">
        <f aca="false">IF(A332="","",IFERROR(INDEX(Events!$D$2:$D$67,MATCH(A332,Events!$A$2:$A$67,0)),"Unknown event ID"))</f>
        <v>Polish Pairs &amp; Team Time Trial Championships</v>
      </c>
      <c r="D332" s="12" t="s">
        <v>407</v>
      </c>
      <c r="E332" s="12" t="s">
        <v>66</v>
      </c>
      <c r="F332" s="12" t="s">
        <v>91</v>
      </c>
      <c r="G332" s="12" t="n">
        <v>2</v>
      </c>
      <c r="H332" s="12" t="s">
        <v>366</v>
      </c>
      <c r="I332" s="12" t="s">
        <v>474</v>
      </c>
      <c r="J332" s="12" t="s">
        <v>409</v>
      </c>
      <c r="K332" s="12" t="str">
        <f aca="false">IF(A332="","",IFERROR(IF(INDEX(Events!$J$2:$J$67,MATCH(A332,Events!$A$2:$A$67,0))="Yes",IF(ISNUMBER(SEARCH("Criterium final",D332)),"No","Yes"),"No"),""))</f>
        <v>Yes</v>
      </c>
      <c r="L332" s="12"/>
      <c r="M332" s="12" t="n">
        <f aca="false">IF(OR(A332="",F332=""),0,IF(COUNTIFS($A$2:A332,A332,$F$2:F332,F332)=1,1,0))</f>
        <v>0</v>
      </c>
      <c r="N332" s="12" t="str">
        <f aca="false">IF(A332="","",IFERROR(INDEX(Events!$F$2:$F$67,MATCH(A332,Events!$A$2:$A$67,0)),""))</f>
        <v>POL</v>
      </c>
      <c r="O332" s="12" t="n">
        <f aca="false">IF(AND(G332=1,K332="Yes",N332="POL"),IF(COUNTIFS($A$2:A332,A332,$D$2:D332,D332,$E$2:E332,E332,$G$2:G332,1)=1,1,0),0)</f>
        <v>0</v>
      </c>
      <c r="P332" s="12" t="n">
        <f aca="false">IF(AND(ISNUMBER(G332),K332="Yes",N332="POL"),IF(AND(G332&gt;=1,G332&lt;=3,COUNTIFS($A$2:A332,A332,$D$2:D332,D332,$E$2:E332,E332,$G$2:G332,G332)=1),1,0),0)</f>
        <v>0</v>
      </c>
    </row>
    <row r="333" customFormat="false" ht="15" hidden="false" customHeight="false" outlineLevel="0" collapsed="false">
      <c r="A333" s="12" t="s">
        <v>296</v>
      </c>
      <c r="B333" s="13" t="n">
        <v>46285</v>
      </c>
      <c r="C333" s="12" t="str">
        <f aca="false">IF(A333="","",IFERROR(INDEX(Events!$D$2:$D$67,MATCH(A333,Events!$A$2:$A$67,0)),"Unknown event ID"))</f>
        <v>Memoriał im. Stanisława Szozdy – MP criterium final</v>
      </c>
      <c r="D333" s="12" t="s">
        <v>427</v>
      </c>
      <c r="E333" s="12" t="s">
        <v>428</v>
      </c>
      <c r="F333" s="12" t="s">
        <v>91</v>
      </c>
      <c r="G333" s="12" t="n">
        <v>3</v>
      </c>
      <c r="H333" s="12" t="s">
        <v>366</v>
      </c>
      <c r="I333" s="12"/>
      <c r="J333" s="12" t="s">
        <v>429</v>
      </c>
      <c r="K333" s="12" t="str">
        <f aca="false">IF(A333="","",IFERROR(IF(INDEX(Events!$J$2:$J$67,MATCH(A333,Events!$A$2:$A$67,0))="Yes",IF(ISNUMBER(SEARCH("Criterium final",D333)),"No","Yes"),"No"),""))</f>
        <v>No</v>
      </c>
      <c r="L333" s="12"/>
      <c r="M333" s="12" t="n">
        <f aca="false">IF(OR(A333="",F333=""),0,IF(COUNTIFS($A$2:A333,A333,$F$2:F333,F333)=1,1,0))</f>
        <v>1</v>
      </c>
      <c r="N333" s="12" t="str">
        <f aca="false">IF(A333="","",IFERROR(INDEX(Events!$F$2:$F$67,MATCH(A333,Events!$A$2:$A$67,0)),""))</f>
        <v>POL</v>
      </c>
      <c r="O333" s="12" t="n">
        <f aca="false">IF(AND(G333=1,K333="Yes",N333="POL"),IF(COUNTIFS($A$2:A333,A333,$D$2:D333,D333,$E$2:E333,E333,$G$2:G333,1)=1,1,0),0)</f>
        <v>0</v>
      </c>
      <c r="P333" s="12" t="n">
        <f aca="false">IF(AND(ISNUMBER(G333),K333="Yes",N333="POL"),IF(AND(G333&gt;=1,G333&lt;=3,COUNTIFS($A$2:A333,A333,$D$2:D333,D333,$E$2:E333,E333,$G$2:G333,G333)=1),1,0),0)</f>
        <v>0</v>
      </c>
    </row>
    <row r="334" customFormat="false" ht="15" hidden="false" customHeight="false" outlineLevel="0" collapsed="false">
      <c r="A334" s="12" t="s">
        <v>351</v>
      </c>
      <c r="B334" s="13" t="n">
        <v>46292</v>
      </c>
      <c r="C334" s="12" t="str">
        <f aca="false">IF(A334="","",IFERROR(INDEX(Events!$D$2:$D$67,MATCH(A334,Events!$A$2:$A$67,0)),"Unknown event ID"))</f>
        <v>Youth Polish Track Championships – non-Olympic events (MMP)</v>
      </c>
      <c r="D334" s="12" t="s">
        <v>389</v>
      </c>
      <c r="E334" s="12" t="s">
        <v>66</v>
      </c>
      <c r="F334" s="12" t="s">
        <v>91</v>
      </c>
      <c r="G334" s="12" t="n">
        <v>3</v>
      </c>
      <c r="H334" s="12" t="s">
        <v>366</v>
      </c>
      <c r="I334" s="12"/>
      <c r="J334" s="12" t="s">
        <v>431</v>
      </c>
      <c r="K334" s="12" t="str">
        <f aca="false">IF(A334="","",IFERROR(IF(INDEX(Events!$J$2:$J$67,MATCH(A334,Events!$A$2:$A$67,0))="Yes",IF(ISNUMBER(SEARCH("Criterium final",D334)),"No","Yes"),"No"),""))</f>
        <v>Yes</v>
      </c>
      <c r="L334" s="12"/>
      <c r="M334" s="12" t="n">
        <f aca="false">IF(OR(A334="",F334=""),0,IF(COUNTIFS($A$2:A334,A334,$F$2:F334,F334)=1,1,0))</f>
        <v>1</v>
      </c>
      <c r="N334" s="12" t="str">
        <f aca="false">IF(A334="","",IFERROR(INDEX(Events!$F$2:$F$67,MATCH(A334,Events!$A$2:$A$67,0)),""))</f>
        <v>POL</v>
      </c>
      <c r="O334" s="12" t="n">
        <f aca="false">IF(AND(G334=1,K334="Yes",N334="POL"),IF(COUNTIFS($A$2:A334,A334,$D$2:D334,D334,$E$2:E334,E334,$G$2:G334,1)=1,1,0),0)</f>
        <v>0</v>
      </c>
      <c r="P334" s="12" t="n">
        <f aca="false">IF(AND(ISNUMBER(G334),K334="Yes",N334="POL"),IF(AND(G334&gt;=1,G334&lt;=3,COUNTIFS($A$2:A334,A334,$D$2:D334,D334,$E$2:E334,E334,$G$2:G334,G334)=1),1,0),0)</f>
        <v>1</v>
      </c>
    </row>
    <row r="335" customFormat="false" ht="15" hidden="false" customHeight="false" outlineLevel="0" collapsed="false">
      <c r="A335" s="12" t="s">
        <v>351</v>
      </c>
      <c r="B335" s="13" t="n">
        <v>46292</v>
      </c>
      <c r="C335" s="12" t="str">
        <f aca="false">IF(A335="","",IFERROR(INDEX(Events!$D$2:$D$67,MATCH(A335,Events!$A$2:$A$67,0)),"Unknown event ID"))</f>
        <v>Youth Polish Track Championships – non-Olympic events (MMP)</v>
      </c>
      <c r="D335" s="12" t="s">
        <v>380</v>
      </c>
      <c r="E335" s="12" t="s">
        <v>66</v>
      </c>
      <c r="F335" s="12" t="s">
        <v>91</v>
      </c>
      <c r="G335" s="12" t="n">
        <v>1</v>
      </c>
      <c r="H335" s="12" t="s">
        <v>366</v>
      </c>
      <c r="I335" s="12"/>
      <c r="J335" s="12" t="s">
        <v>436</v>
      </c>
      <c r="K335" s="12" t="str">
        <f aca="false">IF(A335="","",IFERROR(IF(INDEX(Events!$J$2:$J$67,MATCH(A335,Events!$A$2:$A$67,0))="Yes",IF(ISNUMBER(SEARCH("Criterium final",D335)),"No","Yes"),"No"),""))</f>
        <v>Yes</v>
      </c>
      <c r="L335" s="12"/>
      <c r="M335" s="12" t="n">
        <f aca="false">IF(OR(A335="",F335=""),0,IF(COUNTIFS($A$2:A335,A335,$F$2:F335,F335)=1,1,0))</f>
        <v>0</v>
      </c>
      <c r="N335" s="12" t="str">
        <f aca="false">IF(A335="","",IFERROR(INDEX(Events!$F$2:$F$67,MATCH(A335,Events!$A$2:$A$67,0)),""))</f>
        <v>POL</v>
      </c>
      <c r="O335" s="12" t="n">
        <f aca="false">IF(AND(G335=1,K335="Yes",N335="POL"),IF(COUNTIFS($A$2:A335,A335,$D$2:D335,D335,$E$2:E335,E335,$G$2:G335,1)=1,1,0),0)</f>
        <v>1</v>
      </c>
      <c r="P335" s="12" t="n">
        <f aca="false">IF(AND(ISNUMBER(G335),K335="Yes",N335="POL"),IF(AND(G335&gt;=1,G335&lt;=3,COUNTIFS($A$2:A335,A335,$D$2:D335,D335,$E$2:E335,E335,$G$2:G335,G335)=1),1,0),0)</f>
        <v>1</v>
      </c>
    </row>
    <row r="336" customFormat="false" ht="15" hidden="false" customHeight="false" outlineLevel="0" collapsed="false">
      <c r="A336" s="12" t="s">
        <v>164</v>
      </c>
      <c r="B336" s="13" t="n">
        <v>46075</v>
      </c>
      <c r="C336" s="12" t="str">
        <f aca="false">IF(A336="","",IFERROR(INDEX(Events!$D$2:$D$67,MATCH(A336,Events!$A$2:$A$67,0)),"Unknown event ID"))</f>
        <v>Polish Cup (track) – Puchar Polski</v>
      </c>
      <c r="D336" s="12" t="s">
        <v>370</v>
      </c>
      <c r="E336" s="12" t="s">
        <v>428</v>
      </c>
      <c r="F336" s="12" t="s">
        <v>94</v>
      </c>
      <c r="G336" s="12" t="n">
        <v>1</v>
      </c>
      <c r="H336" s="12" t="s">
        <v>366</v>
      </c>
      <c r="I336" s="12" t="s">
        <v>435</v>
      </c>
      <c r="J336" s="12" t="s">
        <v>472</v>
      </c>
      <c r="K336" s="12" t="str">
        <f aca="false">IF(A336="","",IFERROR(IF(INDEX(Events!$J$2:$J$67,MATCH(A336,Events!$A$2:$A$67,0))="Yes",IF(ISNUMBER(SEARCH("Criterium final",D336)),"No","Yes"),"No"),""))</f>
        <v>No</v>
      </c>
      <c r="L336" s="12"/>
      <c r="M336" s="12" t="n">
        <f aca="false">IF(OR(A336="",F336=""),0,IF(COUNTIFS($A$2:A336,A336,$F$2:F336,F336)=1,1,0))</f>
        <v>1</v>
      </c>
      <c r="N336" s="12" t="str">
        <f aca="false">IF(A336="","",IFERROR(INDEX(Events!$F$2:$F$67,MATCH(A336,Events!$A$2:$A$67,0)),""))</f>
        <v>POL</v>
      </c>
      <c r="O336" s="12" t="n">
        <f aca="false">IF(AND(G336=1,K336="Yes",N336="POL"),IF(COUNTIFS($A$2:A336,A336,$D$2:D336,D336,$E$2:E336,E336,$G$2:G336,1)=1,1,0),0)</f>
        <v>0</v>
      </c>
      <c r="P336" s="12" t="n">
        <f aca="false">IF(AND(ISNUMBER(G336),K336="Yes",N336="POL"),IF(AND(G336&gt;=1,G336&lt;=3,COUNTIFS($A$2:A336,A336,$D$2:D336,D336,$E$2:E336,E336,$G$2:G336,G336)=1),1,0),0)</f>
        <v>0</v>
      </c>
    </row>
    <row r="337" customFormat="false" ht="15" hidden="false" customHeight="false" outlineLevel="0" collapsed="false">
      <c r="A337" s="12" t="s">
        <v>174</v>
      </c>
      <c r="B337" s="13" t="n">
        <v>46103</v>
      </c>
      <c r="C337" s="12" t="str">
        <f aca="false">IF(A337="","",IFERROR(INDEX(Events!$D$2:$D$67,MATCH(A337,Events!$A$2:$A$67,0)),"Unknown event ID"))</f>
        <v>Midwest Cycling Classic</v>
      </c>
      <c r="D337" s="12" t="s">
        <v>365</v>
      </c>
      <c r="E337" s="12" t="s">
        <v>59</v>
      </c>
      <c r="F337" s="12" t="s">
        <v>94</v>
      </c>
      <c r="G337" s="12" t="n">
        <v>120</v>
      </c>
      <c r="H337" s="12" t="s">
        <v>366</v>
      </c>
      <c r="I337" s="12"/>
      <c r="J337" s="12" t="s">
        <v>96</v>
      </c>
      <c r="K337" s="12" t="str">
        <f aca="false">IF(A337="","",IFERROR(IF(INDEX(Events!$J$2:$J$67,MATCH(A337,Events!$A$2:$A$67,0))="Yes",IF(ISNUMBER(SEARCH("Criterium final",D337)),"No","Yes"),"No"),""))</f>
        <v>No</v>
      </c>
      <c r="L337" s="12"/>
      <c r="M337" s="12" t="n">
        <f aca="false">IF(OR(A337="",F337=""),0,IF(COUNTIFS($A$2:A337,A337,$F$2:F337,F337)=1,1,0))</f>
        <v>1</v>
      </c>
      <c r="N337" s="12" t="str">
        <f aca="false">IF(A337="","",IFERROR(INDEX(Events!$F$2:$F$67,MATCH(A337,Events!$A$2:$A$67,0)),""))</f>
        <v>BEL</v>
      </c>
      <c r="O337" s="12" t="n">
        <f aca="false">IF(AND(G337=1,K337="Yes",N337="POL"),IF(COUNTIFS($A$2:A337,A337,$D$2:D337,D337,$E$2:E337,E337,$G$2:G337,1)=1,1,0),0)</f>
        <v>0</v>
      </c>
      <c r="P337" s="12" t="n">
        <f aca="false">IF(AND(ISNUMBER(G337),K337="Yes",N337="POL"),IF(AND(G337&gt;=1,G337&lt;=3,COUNTIFS($A$2:A337,A337,$D$2:D337,D337,$E$2:E337,E337,$G$2:G337,G337)=1),1,0),0)</f>
        <v>0</v>
      </c>
    </row>
    <row r="338" customFormat="false" ht="15" hidden="false" customHeight="false" outlineLevel="0" collapsed="false">
      <c r="A338" s="12" t="s">
        <v>181</v>
      </c>
      <c r="B338" s="13" t="n">
        <v>46116</v>
      </c>
      <c r="C338" s="12" t="str">
        <f aca="false">IF(A338="","",IFERROR(INDEX(Events!$D$2:$D$67,MATCH(A338,Events!$A$2:$A$67,0)),"Unknown event ID"))</f>
        <v>NXT Classic</v>
      </c>
      <c r="D338" s="12" t="s">
        <v>365</v>
      </c>
      <c r="E338" s="12" t="s">
        <v>59</v>
      </c>
      <c r="F338" s="12" t="s">
        <v>94</v>
      </c>
      <c r="G338" s="12"/>
      <c r="H338" s="12" t="s">
        <v>33</v>
      </c>
      <c r="I338" s="12"/>
      <c r="J338" s="12" t="s">
        <v>96</v>
      </c>
      <c r="K338" s="12" t="str">
        <f aca="false">IF(A338="","",IFERROR(IF(INDEX(Events!$J$2:$J$67,MATCH(A338,Events!$A$2:$A$67,0))="Yes",IF(ISNUMBER(SEARCH("Criterium final",D338)),"No","Yes"),"No"),""))</f>
        <v>No</v>
      </c>
      <c r="L338" s="12"/>
      <c r="M338" s="12" t="n">
        <f aca="false">IF(OR(A338="",F338=""),0,IF(COUNTIFS($A$2:A338,A338,$F$2:F338,F338)=1,1,0))</f>
        <v>1</v>
      </c>
      <c r="N338" s="12" t="str">
        <f aca="false">IF(A338="","",IFERROR(INDEX(Events!$F$2:$F$67,MATCH(A338,Events!$A$2:$A$67,0)),""))</f>
        <v>NED</v>
      </c>
      <c r="O338" s="12" t="n">
        <f aca="false">IF(AND(G338=1,K338="Yes",N338="POL"),IF(COUNTIFS($A$2:A338,A338,$D$2:D338,D338,$E$2:E338,E338,$G$2:G338,1)=1,1,0),0)</f>
        <v>0</v>
      </c>
      <c r="P338" s="12" t="n">
        <f aca="false">IF(AND(ISNUMBER(G338),K338="Yes",N338="POL"),IF(AND(G338&gt;=1,G338&lt;=3,COUNTIFS($A$2:A338,A338,$D$2:D338,D338,$E$2:E338,E338,$G$2:G338,G338)=1),1,0),0)</f>
        <v>0</v>
      </c>
    </row>
    <row r="339" customFormat="false" ht="15" hidden="false" customHeight="false" outlineLevel="0" collapsed="false">
      <c r="A339" s="12" t="s">
        <v>246</v>
      </c>
      <c r="B339" s="13" t="n">
        <v>46198</v>
      </c>
      <c r="C339" s="12" t="str">
        <f aca="false">IF(A339="","",IFERROR(INDEX(Events!$D$2:$D$67,MATCH(A339,Events!$A$2:$A$67,0)),"Unknown event ID"))</f>
        <v>Polish Road Championships (ITT + road race)</v>
      </c>
      <c r="D339" s="12" t="s">
        <v>387</v>
      </c>
      <c r="E339" s="12" t="s">
        <v>66</v>
      </c>
      <c r="F339" s="12" t="s">
        <v>94</v>
      </c>
      <c r="G339" s="12" t="n">
        <v>21</v>
      </c>
      <c r="H339" s="12" t="s">
        <v>366</v>
      </c>
      <c r="I339" s="12"/>
      <c r="J339" s="12" t="s">
        <v>96</v>
      </c>
      <c r="K339" s="12" t="str">
        <f aca="false">IF(A339="","",IFERROR(IF(INDEX(Events!$J$2:$J$67,MATCH(A339,Events!$A$2:$A$67,0))="Yes",IF(ISNUMBER(SEARCH("Criterium final",D339)),"No","Yes"),"No"),""))</f>
        <v>Yes</v>
      </c>
      <c r="L339" s="12"/>
      <c r="M339" s="12" t="n">
        <f aca="false">IF(OR(A339="",F339=""),0,IF(COUNTIFS($A$2:A339,A339,$F$2:F339,F339)=1,1,0))</f>
        <v>1</v>
      </c>
      <c r="N339" s="12" t="str">
        <f aca="false">IF(A339="","",IFERROR(INDEX(Events!$F$2:$F$67,MATCH(A339,Events!$A$2:$A$67,0)),""))</f>
        <v>POL</v>
      </c>
      <c r="O339" s="12" t="n">
        <f aca="false">IF(AND(G339=1,K339="Yes",N339="POL"),IF(COUNTIFS($A$2:A339,A339,$D$2:D339,D339,$E$2:E339,E339,$G$2:G339,1)=1,1,0),0)</f>
        <v>0</v>
      </c>
      <c r="P339" s="12" t="n">
        <f aca="false">IF(AND(ISNUMBER(G339),K339="Yes",N339="POL"),IF(AND(G339&gt;=1,G339&lt;=3,COUNTIFS($A$2:A339,A339,$D$2:D339,D339,$E$2:E339,E339,$G$2:G339,G339)=1),1,0),0)</f>
        <v>0</v>
      </c>
    </row>
    <row r="340" customFormat="false" ht="15" hidden="false" customHeight="false" outlineLevel="0" collapsed="false">
      <c r="A340" s="12" t="s">
        <v>246</v>
      </c>
      <c r="B340" s="13" t="n">
        <v>46200</v>
      </c>
      <c r="C340" s="12" t="str">
        <f aca="false">IF(A340="","",IFERROR(INDEX(Events!$D$2:$D$67,MATCH(A340,Events!$A$2:$A$67,0)),"Unknown event ID"))</f>
        <v>Polish Road Championships (ITT + road race)</v>
      </c>
      <c r="D340" s="12" t="s">
        <v>367</v>
      </c>
      <c r="E340" s="12" t="s">
        <v>59</v>
      </c>
      <c r="F340" s="12" t="s">
        <v>94</v>
      </c>
      <c r="G340" s="12" t="n">
        <v>23</v>
      </c>
      <c r="H340" s="12" t="s">
        <v>366</v>
      </c>
      <c r="I340" s="12"/>
      <c r="J340" s="12" t="s">
        <v>96</v>
      </c>
      <c r="K340" s="12" t="str">
        <f aca="false">IF(A340="","",IFERROR(IF(INDEX(Events!$J$2:$J$67,MATCH(A340,Events!$A$2:$A$67,0))="Yes",IF(ISNUMBER(SEARCH("Criterium final",D340)),"No","Yes"),"No"),""))</f>
        <v>Yes</v>
      </c>
      <c r="L340" s="12"/>
      <c r="M340" s="12" t="n">
        <f aca="false">IF(OR(A340="",F340=""),0,IF(COUNTIFS($A$2:A340,A340,$F$2:F340,F340)=1,1,0))</f>
        <v>0</v>
      </c>
      <c r="N340" s="12" t="str">
        <f aca="false">IF(A340="","",IFERROR(INDEX(Events!$F$2:$F$67,MATCH(A340,Events!$A$2:$A$67,0)),""))</f>
        <v>POL</v>
      </c>
      <c r="O340" s="12" t="n">
        <f aca="false">IF(AND(G340=1,K340="Yes",N340="POL"),IF(COUNTIFS($A$2:A340,A340,$D$2:D340,D340,$E$2:E340,E340,$G$2:G340,1)=1,1,0),0)</f>
        <v>0</v>
      </c>
      <c r="P340" s="12" t="n">
        <f aca="false">IF(AND(ISNUMBER(G340),K340="Yes",N340="POL"),IF(AND(G340&gt;=1,G340&lt;=3,COUNTIFS($A$2:A340,A340,$D$2:D340,D340,$E$2:E340,E340,$G$2:G340,G340)=1),1,0),0)</f>
        <v>0</v>
      </c>
    </row>
    <row r="341" customFormat="false" ht="15" hidden="false" customHeight="false" outlineLevel="0" collapsed="false">
      <c r="A341" s="12" t="s">
        <v>252</v>
      </c>
      <c r="B341" s="13" t="n">
        <v>46214</v>
      </c>
      <c r="C341" s="12" t="str">
        <f aca="false">IF(A341="","",IFERROR(INDEX(Events!$D$2:$D$67,MATCH(A341,Events!$A$2:$A$67,0)),"Unknown event ID"))</f>
        <v>Respect Ladies Race Slovakia</v>
      </c>
      <c r="D341" s="12" t="s">
        <v>365</v>
      </c>
      <c r="E341" s="12" t="s">
        <v>59</v>
      </c>
      <c r="F341" s="12" t="s">
        <v>94</v>
      </c>
      <c r="G341" s="12" t="n">
        <v>33</v>
      </c>
      <c r="H341" s="12" t="s">
        <v>366</v>
      </c>
      <c r="I341" s="12"/>
      <c r="J341" s="12" t="s">
        <v>96</v>
      </c>
      <c r="K341" s="12" t="str">
        <f aca="false">IF(A341="","",IFERROR(IF(INDEX(Events!$J$2:$J$67,MATCH(A341,Events!$A$2:$A$67,0))="Yes",IF(ISNUMBER(SEARCH("Criterium final",D341)),"No","Yes"),"No"),""))</f>
        <v>No</v>
      </c>
      <c r="L341" s="12"/>
      <c r="M341" s="12" t="n">
        <f aca="false">IF(OR(A341="",F341=""),0,IF(COUNTIFS($A$2:A341,A341,$F$2:F341,F341)=1,1,0))</f>
        <v>1</v>
      </c>
      <c r="N341" s="12" t="str">
        <f aca="false">IF(A341="","",IFERROR(INDEX(Events!$F$2:$F$67,MATCH(A341,Events!$A$2:$A$67,0)),""))</f>
        <v>SVK</v>
      </c>
      <c r="O341" s="12" t="n">
        <f aca="false">IF(AND(G341=1,K341="Yes",N341="POL"),IF(COUNTIFS($A$2:A341,A341,$D$2:D341,D341,$E$2:E341,E341,$G$2:G341,1)=1,1,0),0)</f>
        <v>0</v>
      </c>
      <c r="P341" s="12" t="n">
        <f aca="false">IF(AND(ISNUMBER(G341),K341="Yes",N341="POL"),IF(AND(G341&gt;=1,G341&lt;=3,COUNTIFS($A$2:A341,A341,$D$2:D341,D341,$E$2:E341,E341,$G$2:G341,G341)=1),1,0),0)</f>
        <v>0</v>
      </c>
    </row>
    <row r="342" customFormat="false" ht="15" hidden="false" customHeight="false" outlineLevel="0" collapsed="false">
      <c r="A342" s="12" t="s">
        <v>270</v>
      </c>
      <c r="B342" s="13" t="n">
        <v>46235</v>
      </c>
      <c r="C342" s="12" t="str">
        <f aca="false">IF(A342="","",IFERROR(INDEX(Events!$D$2:$D$67,MATCH(A342,Events!$A$2:$A$67,0)),"Unknown event ID"))</f>
        <v>Polish Elite Track Championships</v>
      </c>
      <c r="D342" s="12" t="s">
        <v>369</v>
      </c>
      <c r="E342" s="12" t="s">
        <v>59</v>
      </c>
      <c r="F342" s="12" t="s">
        <v>94</v>
      </c>
      <c r="G342" s="12" t="n">
        <v>2</v>
      </c>
      <c r="H342" s="12" t="s">
        <v>366</v>
      </c>
      <c r="I342" s="12" t="s">
        <v>388</v>
      </c>
      <c r="J342" s="12" t="s">
        <v>379</v>
      </c>
      <c r="K342" s="12" t="str">
        <f aca="false">IF(A342="","",IFERROR(IF(INDEX(Events!$J$2:$J$67,MATCH(A342,Events!$A$2:$A$67,0))="Yes",IF(ISNUMBER(SEARCH("Criterium final",D342)),"No","Yes"),"No"),""))</f>
        <v>Yes</v>
      </c>
      <c r="L342" s="12"/>
      <c r="M342" s="12" t="n">
        <f aca="false">IF(OR(A342="",F342=""),0,IF(COUNTIFS($A$2:A342,A342,$F$2:F342,F342)=1,1,0))</f>
        <v>1</v>
      </c>
      <c r="N342" s="12" t="str">
        <f aca="false">IF(A342="","",IFERROR(INDEX(Events!$F$2:$F$67,MATCH(A342,Events!$A$2:$A$67,0)),""))</f>
        <v>POL</v>
      </c>
      <c r="O342" s="12" t="n">
        <f aca="false">IF(AND(G342=1,K342="Yes",N342="POL"),IF(COUNTIFS($A$2:A342,A342,$D$2:D342,D342,$E$2:E342,E342,$G$2:G342,1)=1,1,0),0)</f>
        <v>0</v>
      </c>
      <c r="P342" s="12" t="n">
        <f aca="false">IF(AND(ISNUMBER(G342),K342="Yes",N342="POL"),IF(AND(G342&gt;=1,G342&lt;=3,COUNTIFS($A$2:A342,A342,$D$2:D342,D342,$E$2:E342,E342,$G$2:G342,G342)=1),1,0),0)</f>
        <v>0</v>
      </c>
    </row>
    <row r="343" customFormat="false" ht="15" hidden="false" customHeight="false" outlineLevel="0" collapsed="false">
      <c r="A343" s="12" t="s">
        <v>289</v>
      </c>
      <c r="B343" s="13" t="n">
        <v>46278</v>
      </c>
      <c r="C343" s="12" t="str">
        <f aca="false">IF(A343="","",IFERROR(INDEX(Events!$D$2:$D$67,MATCH(A343,Events!$A$2:$A$67,0)),"Unknown event ID"))</f>
        <v>Polish Pairs &amp; Team Time Trial Championships</v>
      </c>
      <c r="D343" s="12" t="s">
        <v>407</v>
      </c>
      <c r="E343" s="12" t="s">
        <v>59</v>
      </c>
      <c r="F343" s="12" t="s">
        <v>94</v>
      </c>
      <c r="G343" s="12" t="n">
        <v>3</v>
      </c>
      <c r="H343" s="12" t="s">
        <v>366</v>
      </c>
      <c r="I343" s="12" t="s">
        <v>475</v>
      </c>
      <c r="J343" s="12" t="s">
        <v>409</v>
      </c>
      <c r="K343" s="12" t="str">
        <f aca="false">IF(A343="","",IFERROR(IF(INDEX(Events!$J$2:$J$67,MATCH(A343,Events!$A$2:$A$67,0))="Yes",IF(ISNUMBER(SEARCH("Criterium final",D343)),"No","Yes"),"No"),""))</f>
        <v>Yes</v>
      </c>
      <c r="L343" s="12"/>
      <c r="M343" s="12" t="n">
        <f aca="false">IF(OR(A343="",F343=""),0,IF(COUNTIFS($A$2:A343,A343,$F$2:F343,F343)=1,1,0))</f>
        <v>1</v>
      </c>
      <c r="N343" s="12" t="str">
        <f aca="false">IF(A343="","",IFERROR(INDEX(Events!$F$2:$F$67,MATCH(A343,Events!$A$2:$A$67,0)),""))</f>
        <v>POL</v>
      </c>
      <c r="O343" s="12" t="n">
        <f aca="false">IF(AND(G343=1,K343="Yes",N343="POL"),IF(COUNTIFS($A$2:A343,A343,$D$2:D343,D343,$E$2:E343,E343,$G$2:G343,1)=1,1,0),0)</f>
        <v>0</v>
      </c>
      <c r="P343" s="12" t="n">
        <f aca="false">IF(AND(ISNUMBER(G343),K343="Yes",N343="POL"),IF(AND(G343&gt;=1,G343&lt;=3,COUNTIFS($A$2:A343,A343,$D$2:D343,D343,$E$2:E343,E343,$G$2:G343,G343)=1),1,0),0)</f>
        <v>0</v>
      </c>
    </row>
    <row r="344" customFormat="false" ht="15" hidden="false" customHeight="false" outlineLevel="0" collapsed="false">
      <c r="A344" s="12" t="s">
        <v>289</v>
      </c>
      <c r="B344" s="13" t="n">
        <v>46278</v>
      </c>
      <c r="C344" s="12" t="str">
        <f aca="false">IF(A344="","",IFERROR(INDEX(Events!$D$2:$D$67,MATCH(A344,Events!$A$2:$A$67,0)),"Unknown event ID"))</f>
        <v>Polish Pairs &amp; Team Time Trial Championships</v>
      </c>
      <c r="D344" s="12" t="s">
        <v>407</v>
      </c>
      <c r="E344" s="12" t="s">
        <v>66</v>
      </c>
      <c r="F344" s="12" t="s">
        <v>94</v>
      </c>
      <c r="G344" s="12" t="n">
        <v>2</v>
      </c>
      <c r="H344" s="12" t="s">
        <v>366</v>
      </c>
      <c r="I344" s="12" t="s">
        <v>475</v>
      </c>
      <c r="J344" s="12" t="s">
        <v>409</v>
      </c>
      <c r="K344" s="12" t="str">
        <f aca="false">IF(A344="","",IFERROR(IF(INDEX(Events!$J$2:$J$67,MATCH(A344,Events!$A$2:$A$67,0))="Yes",IF(ISNUMBER(SEARCH("Criterium final",D344)),"No","Yes"),"No"),""))</f>
        <v>Yes</v>
      </c>
      <c r="L344" s="12"/>
      <c r="M344" s="12" t="n">
        <f aca="false">IF(OR(A344="",F344=""),0,IF(COUNTIFS($A$2:A344,A344,$F$2:F344,F344)=1,1,0))</f>
        <v>0</v>
      </c>
      <c r="N344" s="12" t="str">
        <f aca="false">IF(A344="","",IFERROR(INDEX(Events!$F$2:$F$67,MATCH(A344,Events!$A$2:$A$67,0)),""))</f>
        <v>POL</v>
      </c>
      <c r="O344" s="12" t="n">
        <f aca="false">IF(AND(G344=1,K344="Yes",N344="POL"),IF(COUNTIFS($A$2:A344,A344,$D$2:D344,D344,$E$2:E344,E344,$G$2:G344,1)=1,1,0),0)</f>
        <v>0</v>
      </c>
      <c r="P344" s="12" t="n">
        <f aca="false">IF(AND(ISNUMBER(G344),K344="Yes",N344="POL"),IF(AND(G344&gt;=1,G344&lt;=3,COUNTIFS($A$2:A344,A344,$D$2:D344,D344,$E$2:E344,E344,$G$2:G344,G344)=1),1,0),0)</f>
        <v>0</v>
      </c>
    </row>
    <row r="345" customFormat="false" ht="15" hidden="false" customHeight="false" outlineLevel="0" collapsed="false">
      <c r="A345" s="12" t="s">
        <v>306</v>
      </c>
      <c r="B345" s="13" t="n">
        <v>46096</v>
      </c>
      <c r="C345" s="12" t="str">
        <f aca="false">IF(A345="","",IFERROR(INDEX(Events!$D$2:$D$67,MATCH(A345,Events!$A$2:$A$67,0)),"Unknown event ID"))</f>
        <v>Piccolo Trofeo Alfredo Binda – Valli del Verbano (juniors)</v>
      </c>
      <c r="D345" s="12" t="s">
        <v>365</v>
      </c>
      <c r="E345" s="12" t="s">
        <v>99</v>
      </c>
      <c r="F345" s="12" t="s">
        <v>97</v>
      </c>
      <c r="G345" s="12" t="n">
        <v>50</v>
      </c>
      <c r="H345" s="12" t="s">
        <v>366</v>
      </c>
      <c r="I345" s="12"/>
      <c r="J345" s="12" t="s">
        <v>102</v>
      </c>
      <c r="K345" s="12" t="str">
        <f aca="false">IF(A345="","",IFERROR(IF(INDEX(Events!$J$2:$J$67,MATCH(A345,Events!$A$2:$A$67,0))="Yes",IF(ISNUMBER(SEARCH("Criterium final",D345)),"No","Yes"),"No"),""))</f>
        <v>No</v>
      </c>
      <c r="L345" s="12"/>
      <c r="M345" s="12" t="n">
        <f aca="false">IF(OR(A345="",F345=""),0,IF(COUNTIFS($A$2:A345,A345,$F$2:F345,F345)=1,1,0))</f>
        <v>1</v>
      </c>
      <c r="N345" s="12" t="str">
        <f aca="false">IF(A345="","",IFERROR(INDEX(Events!$F$2:$F$67,MATCH(A345,Events!$A$2:$A$67,0)),""))</f>
        <v>ITA</v>
      </c>
      <c r="O345" s="12" t="n">
        <f aca="false">IF(AND(G345=1,K345="Yes",N345="POL"),IF(COUNTIFS($A$2:A345,A345,$D$2:D345,D345,$E$2:E345,E345,$G$2:G345,1)=1,1,0),0)</f>
        <v>0</v>
      </c>
      <c r="P345" s="12" t="n">
        <f aca="false">IF(AND(ISNUMBER(G345),K345="Yes",N345="POL"),IF(AND(G345&gt;=1,G345&lt;=3,COUNTIFS($A$2:A345,A345,$D$2:D345,D345,$E$2:E345,E345,$G$2:G345,G345)=1),1,0),0)</f>
        <v>0</v>
      </c>
    </row>
    <row r="346" customFormat="false" ht="15" hidden="false" customHeight="false" outlineLevel="0" collapsed="false">
      <c r="A346" s="12" t="s">
        <v>199</v>
      </c>
      <c r="B346" s="13" t="n">
        <v>46136</v>
      </c>
      <c r="C346" s="12" t="str">
        <f aca="false">IF(A346="","",IFERROR(INDEX(Events!$D$2:$D$67,MATCH(A346,Events!$A$2:$A$67,0)),"Unknown event ID"))</f>
        <v>EPZ Omloop van Borsele</v>
      </c>
      <c r="D346" s="12" t="s">
        <v>377</v>
      </c>
      <c r="E346" s="12" t="s">
        <v>99</v>
      </c>
      <c r="F346" s="12" t="s">
        <v>97</v>
      </c>
      <c r="G346" s="12" t="n">
        <v>22</v>
      </c>
      <c r="H346" s="12" t="s">
        <v>366</v>
      </c>
      <c r="I346" s="12"/>
      <c r="J346" s="12" t="s">
        <v>102</v>
      </c>
      <c r="K346" s="12" t="str">
        <f aca="false">IF(A346="","",IFERROR(IF(INDEX(Events!$J$2:$J$67,MATCH(A346,Events!$A$2:$A$67,0))="Yes",IF(ISNUMBER(SEARCH("Criterium final",D346)),"No","Yes"),"No"),""))</f>
        <v>No</v>
      </c>
      <c r="L346" s="12"/>
      <c r="M346" s="12" t="n">
        <f aca="false">IF(OR(A346="",F346=""),0,IF(COUNTIFS($A$2:A346,A346,$F$2:F346,F346)=1,1,0))</f>
        <v>1</v>
      </c>
      <c r="N346" s="12" t="str">
        <f aca="false">IF(A346="","",IFERROR(INDEX(Events!$F$2:$F$67,MATCH(A346,Events!$A$2:$A$67,0)),""))</f>
        <v>NED</v>
      </c>
      <c r="O346" s="12" t="n">
        <f aca="false">IF(AND(G346=1,K346="Yes",N346="POL"),IF(COUNTIFS($A$2:A346,A346,$D$2:D346,D346,$E$2:E346,E346,$G$2:G346,1)=1,1,0),0)</f>
        <v>0</v>
      </c>
      <c r="P346" s="12" t="n">
        <f aca="false">IF(AND(ISNUMBER(G346),K346="Yes",N346="POL"),IF(AND(G346&gt;=1,G346&lt;=3,COUNTIFS($A$2:A346,A346,$D$2:D346,D346,$E$2:E346,E346,$G$2:G346,G346)=1),1,0),0)</f>
        <v>0</v>
      </c>
    </row>
    <row r="347" customFormat="false" ht="15" hidden="false" customHeight="false" outlineLevel="0" collapsed="false">
      <c r="A347" s="12" t="s">
        <v>199</v>
      </c>
      <c r="B347" s="13" t="n">
        <v>46137</v>
      </c>
      <c r="C347" s="12" t="str">
        <f aca="false">IF(A347="","",IFERROR(INDEX(Events!$D$2:$D$67,MATCH(A347,Events!$A$2:$A$67,0)),"Unknown event ID"))</f>
        <v>EPZ Omloop van Borsele</v>
      </c>
      <c r="D347" s="12" t="s">
        <v>373</v>
      </c>
      <c r="E347" s="12" t="s">
        <v>99</v>
      </c>
      <c r="F347" s="12" t="s">
        <v>97</v>
      </c>
      <c r="G347" s="12" t="n">
        <v>15</v>
      </c>
      <c r="H347" s="12" t="s">
        <v>366</v>
      </c>
      <c r="I347" s="12"/>
      <c r="J347" s="12" t="s">
        <v>102</v>
      </c>
      <c r="K347" s="12" t="str">
        <f aca="false">IF(A347="","",IFERROR(IF(INDEX(Events!$J$2:$J$67,MATCH(A347,Events!$A$2:$A$67,0))="Yes",IF(ISNUMBER(SEARCH("Criterium final",D347)),"No","Yes"),"No"),""))</f>
        <v>No</v>
      </c>
      <c r="L347" s="12"/>
      <c r="M347" s="12" t="n">
        <f aca="false">IF(OR(A347="",F347=""),0,IF(COUNTIFS($A$2:A347,A347,$F$2:F347,F347)=1,1,0))</f>
        <v>0</v>
      </c>
      <c r="N347" s="12" t="str">
        <f aca="false">IF(A347="","",IFERROR(INDEX(Events!$F$2:$F$67,MATCH(A347,Events!$A$2:$A$67,0)),""))</f>
        <v>NED</v>
      </c>
      <c r="O347" s="12" t="n">
        <f aca="false">IF(AND(G347=1,K347="Yes",N347="POL"),IF(COUNTIFS($A$2:A347,A347,$D$2:D347,D347,$E$2:E347,E347,$G$2:G347,1)=1,1,0),0)</f>
        <v>0</v>
      </c>
      <c r="P347" s="12" t="n">
        <f aca="false">IF(AND(ISNUMBER(G347),K347="Yes",N347="POL"),IF(AND(G347&gt;=1,G347&lt;=3,COUNTIFS($A$2:A347,A347,$D$2:D347,D347,$E$2:E347,E347,$G$2:G347,G347)=1),1,0),0)</f>
        <v>0</v>
      </c>
    </row>
    <row r="348" customFormat="false" ht="15" hidden="false" customHeight="false" outlineLevel="0" collapsed="false">
      <c r="A348" s="12" t="s">
        <v>199</v>
      </c>
      <c r="B348" s="13" t="n">
        <v>46138</v>
      </c>
      <c r="C348" s="12" t="str">
        <f aca="false">IF(A348="","",IFERROR(INDEX(Events!$D$2:$D$67,MATCH(A348,Events!$A$2:$A$67,0)),"Unknown event ID"))</f>
        <v>EPZ Omloop van Borsele</v>
      </c>
      <c r="D348" s="12" t="s">
        <v>374</v>
      </c>
      <c r="E348" s="12" t="s">
        <v>99</v>
      </c>
      <c r="F348" s="12" t="s">
        <v>97</v>
      </c>
      <c r="G348" s="12" t="n">
        <v>42</v>
      </c>
      <c r="H348" s="12" t="s">
        <v>366</v>
      </c>
      <c r="I348" s="12"/>
      <c r="J348" s="12" t="s">
        <v>102</v>
      </c>
      <c r="K348" s="12" t="str">
        <f aca="false">IF(A348="","",IFERROR(IF(INDEX(Events!$J$2:$J$67,MATCH(A348,Events!$A$2:$A$67,0))="Yes",IF(ISNUMBER(SEARCH("Criterium final",D348)),"No","Yes"),"No"),""))</f>
        <v>No</v>
      </c>
      <c r="L348" s="12"/>
      <c r="M348" s="12" t="n">
        <f aca="false">IF(OR(A348="",F348=""),0,IF(COUNTIFS($A$2:A348,A348,$F$2:F348,F348)=1,1,0))</f>
        <v>0</v>
      </c>
      <c r="N348" s="12" t="str">
        <f aca="false">IF(A348="","",IFERROR(INDEX(Events!$F$2:$F$67,MATCH(A348,Events!$A$2:$A$67,0)),""))</f>
        <v>NED</v>
      </c>
      <c r="O348" s="12" t="n">
        <f aca="false">IF(AND(G348=1,K348="Yes",N348="POL"),IF(COUNTIFS($A$2:A348,A348,$D$2:D348,D348,$E$2:E348,E348,$G$2:G348,1)=1,1,0),0)</f>
        <v>0</v>
      </c>
      <c r="P348" s="12" t="n">
        <f aca="false">IF(AND(ISNUMBER(G348),K348="Yes",N348="POL"),IF(AND(G348&gt;=1,G348&lt;=3,COUNTIFS($A$2:A348,A348,$D$2:D348,D348,$E$2:E348,E348,$G$2:G348,G348)=1),1,0),0)</f>
        <v>0</v>
      </c>
    </row>
    <row r="349" customFormat="false" ht="15" hidden="false" customHeight="false" outlineLevel="0" collapsed="false">
      <c r="A349" s="12" t="s">
        <v>199</v>
      </c>
      <c r="B349" s="13" t="n">
        <v>46138</v>
      </c>
      <c r="C349" s="12" t="str">
        <f aca="false">IF(A349="","",IFERROR(INDEX(Events!$D$2:$D$67,MATCH(A349,Events!$A$2:$A$67,0)),"Unknown event ID"))</f>
        <v>EPZ Omloop van Borsele</v>
      </c>
      <c r="D349" s="12" t="s">
        <v>376</v>
      </c>
      <c r="E349" s="12" t="s">
        <v>99</v>
      </c>
      <c r="F349" s="12" t="s">
        <v>97</v>
      </c>
      <c r="G349" s="12" t="n">
        <v>19</v>
      </c>
      <c r="H349" s="12" t="s">
        <v>366</v>
      </c>
      <c r="I349" s="12"/>
      <c r="J349" s="12" t="s">
        <v>102</v>
      </c>
      <c r="K349" s="12" t="str">
        <f aca="false">IF(A349="","",IFERROR(IF(INDEX(Events!$J$2:$J$67,MATCH(A349,Events!$A$2:$A$67,0))="Yes",IF(ISNUMBER(SEARCH("Criterium final",D349)),"No","Yes"),"No"),""))</f>
        <v>No</v>
      </c>
      <c r="L349" s="12"/>
      <c r="M349" s="12" t="n">
        <f aca="false">IF(OR(A349="",F349=""),0,IF(COUNTIFS($A$2:A349,A349,$F$2:F349,F349)=1,1,0))</f>
        <v>0</v>
      </c>
      <c r="N349" s="12" t="str">
        <f aca="false">IF(A349="","",IFERROR(INDEX(Events!$F$2:$F$67,MATCH(A349,Events!$A$2:$A$67,0)),""))</f>
        <v>NED</v>
      </c>
      <c r="O349" s="12" t="n">
        <f aca="false">IF(AND(G349=1,K349="Yes",N349="POL"),IF(COUNTIFS($A$2:A349,A349,$D$2:D349,D349,$E$2:E349,E349,$G$2:G349,1)=1,1,0),0)</f>
        <v>0</v>
      </c>
      <c r="P349" s="12" t="n">
        <f aca="false">IF(AND(ISNUMBER(G349),K349="Yes",N349="POL"),IF(AND(G349&gt;=1,G349&lt;=3,COUNTIFS($A$2:A349,A349,$D$2:D349,D349,$E$2:E349,E349,$G$2:G349,G349)=1),1,0),0)</f>
        <v>0</v>
      </c>
    </row>
    <row r="350" customFormat="false" ht="15" hidden="false" customHeight="false" outlineLevel="0" collapsed="false">
      <c r="A350" s="12" t="s">
        <v>320</v>
      </c>
      <c r="B350" s="13" t="n">
        <v>46158</v>
      </c>
      <c r="C350" s="12" t="str">
        <f aca="false">IF(A350="","",IFERROR(INDEX(Events!$D$2:$D$67,MATCH(A350,Events!$A$2:$A$67,0)),"Unknown event ID"))</f>
        <v>Tour du Gévaudan Occitanie femmes</v>
      </c>
      <c r="D350" s="12" t="s">
        <v>377</v>
      </c>
      <c r="E350" s="12" t="s">
        <v>59</v>
      </c>
      <c r="F350" s="12" t="s">
        <v>97</v>
      </c>
      <c r="G350" s="12" t="n">
        <v>2</v>
      </c>
      <c r="H350" s="12" t="s">
        <v>366</v>
      </c>
      <c r="I350" s="12"/>
      <c r="J350" s="12" t="s">
        <v>102</v>
      </c>
      <c r="K350" s="12" t="str">
        <f aca="false">IF(A350="","",IFERROR(IF(INDEX(Events!$J$2:$J$67,MATCH(A350,Events!$A$2:$A$67,0))="Yes",IF(ISNUMBER(SEARCH("Criterium final",D350)),"No","Yes"),"No"),""))</f>
        <v>No</v>
      </c>
      <c r="L350" s="12"/>
      <c r="M350" s="12" t="n">
        <f aca="false">IF(OR(A350="",F350=""),0,IF(COUNTIFS($A$2:A350,A350,$F$2:F350,F350)=1,1,0))</f>
        <v>1</v>
      </c>
      <c r="N350" s="12" t="str">
        <f aca="false">IF(A350="","",IFERROR(INDEX(Events!$F$2:$F$67,MATCH(A350,Events!$A$2:$A$67,0)),""))</f>
        <v>FRA</v>
      </c>
      <c r="O350" s="12" t="n">
        <f aca="false">IF(AND(G350=1,K350="Yes",N350="POL"),IF(COUNTIFS($A$2:A350,A350,$D$2:D350,D350,$E$2:E350,E350,$G$2:G350,1)=1,1,0),0)</f>
        <v>0</v>
      </c>
      <c r="P350" s="12" t="n">
        <f aca="false">IF(AND(ISNUMBER(G350),K350="Yes",N350="POL"),IF(AND(G350&gt;=1,G350&lt;=3,COUNTIFS($A$2:A350,A350,$D$2:D350,D350,$E$2:E350,E350,$G$2:G350,G350)=1),1,0),0)</f>
        <v>0</v>
      </c>
    </row>
    <row r="351" customFormat="false" ht="15" hidden="false" customHeight="false" outlineLevel="0" collapsed="false">
      <c r="A351" s="12" t="s">
        <v>320</v>
      </c>
      <c r="B351" s="13" t="n">
        <v>46159</v>
      </c>
      <c r="C351" s="12" t="str">
        <f aca="false">IF(A351="","",IFERROR(INDEX(Events!$D$2:$D$67,MATCH(A351,Events!$A$2:$A$67,0)),"Unknown event ID"))</f>
        <v>Tour du Gévaudan Occitanie femmes</v>
      </c>
      <c r="D351" s="12" t="s">
        <v>373</v>
      </c>
      <c r="E351" s="12" t="s">
        <v>59</v>
      </c>
      <c r="F351" s="12" t="s">
        <v>97</v>
      </c>
      <c r="G351" s="12" t="n">
        <v>62</v>
      </c>
      <c r="H351" s="12" t="s">
        <v>366</v>
      </c>
      <c r="I351" s="12"/>
      <c r="J351" s="12" t="s">
        <v>102</v>
      </c>
      <c r="K351" s="12" t="str">
        <f aca="false">IF(A351="","",IFERROR(IF(INDEX(Events!$J$2:$J$67,MATCH(A351,Events!$A$2:$A$67,0))="Yes",IF(ISNUMBER(SEARCH("Criterium final",D351)),"No","Yes"),"No"),""))</f>
        <v>No</v>
      </c>
      <c r="L351" s="12"/>
      <c r="M351" s="12" t="n">
        <f aca="false">IF(OR(A351="",F351=""),0,IF(COUNTIFS($A$2:A351,A351,$F$2:F351,F351)=1,1,0))</f>
        <v>0</v>
      </c>
      <c r="N351" s="12" t="str">
        <f aca="false">IF(A351="","",IFERROR(INDEX(Events!$F$2:$F$67,MATCH(A351,Events!$A$2:$A$67,0)),""))</f>
        <v>FRA</v>
      </c>
      <c r="O351" s="12" t="n">
        <f aca="false">IF(AND(G351=1,K351="Yes",N351="POL"),IF(COUNTIFS($A$2:A351,A351,$D$2:D351,D351,$E$2:E351,E351,$G$2:G351,1)=1,1,0),0)</f>
        <v>0</v>
      </c>
      <c r="P351" s="12" t="n">
        <f aca="false">IF(AND(ISNUMBER(G351),K351="Yes",N351="POL"),IF(AND(G351&gt;=1,G351&lt;=3,COUNTIFS($A$2:A351,A351,$D$2:D351,D351,$E$2:E351,E351,$G$2:G351,G351)=1),1,0),0)</f>
        <v>0</v>
      </c>
    </row>
    <row r="352" customFormat="false" ht="15" hidden="false" customHeight="false" outlineLevel="0" collapsed="false">
      <c r="A352" s="12" t="s">
        <v>320</v>
      </c>
      <c r="B352" s="13" t="n">
        <v>46159</v>
      </c>
      <c r="C352" s="12" t="str">
        <f aca="false">IF(A352="","",IFERROR(INDEX(Events!$D$2:$D$67,MATCH(A352,Events!$A$2:$A$67,0)),"Unknown event ID"))</f>
        <v>Tour du Gévaudan Occitanie femmes</v>
      </c>
      <c r="D352" s="12" t="s">
        <v>376</v>
      </c>
      <c r="E352" s="12" t="s">
        <v>59</v>
      </c>
      <c r="F352" s="12" t="s">
        <v>97</v>
      </c>
      <c r="G352" s="12" t="n">
        <v>54</v>
      </c>
      <c r="H352" s="12" t="s">
        <v>366</v>
      </c>
      <c r="I352" s="12"/>
      <c r="J352" s="12" t="s">
        <v>102</v>
      </c>
      <c r="K352" s="12" t="str">
        <f aca="false">IF(A352="","",IFERROR(IF(INDEX(Events!$J$2:$J$67,MATCH(A352,Events!$A$2:$A$67,0))="Yes",IF(ISNUMBER(SEARCH("Criterium final",D352)),"No","Yes"),"No"),""))</f>
        <v>No</v>
      </c>
      <c r="L352" s="12"/>
      <c r="M352" s="12" t="n">
        <f aca="false">IF(OR(A352="",F352=""),0,IF(COUNTIFS($A$2:A352,A352,$F$2:F352,F352)=1,1,0))</f>
        <v>0</v>
      </c>
      <c r="N352" s="12" t="str">
        <f aca="false">IF(A352="","",IFERROR(INDEX(Events!$F$2:$F$67,MATCH(A352,Events!$A$2:$A$67,0)),""))</f>
        <v>FRA</v>
      </c>
      <c r="O352" s="12" t="n">
        <f aca="false">IF(AND(G352=1,K352="Yes",N352="POL"),IF(COUNTIFS($A$2:A352,A352,$D$2:D352,D352,$E$2:E352,E352,$G$2:G352,1)=1,1,0),0)</f>
        <v>0</v>
      </c>
      <c r="P352" s="12" t="n">
        <f aca="false">IF(AND(ISNUMBER(G352),K352="Yes",N352="POL"),IF(AND(G352&gt;=1,G352&lt;=3,COUNTIFS($A$2:A352,A352,$D$2:D352,D352,$E$2:E352,E352,$G$2:G352,G352)=1),1,0),0)</f>
        <v>0</v>
      </c>
    </row>
    <row r="353" customFormat="false" ht="15" hidden="false" customHeight="false" outlineLevel="0" collapsed="false">
      <c r="A353" s="12" t="s">
        <v>320</v>
      </c>
      <c r="B353" s="13" t="n">
        <v>46159</v>
      </c>
      <c r="C353" s="12" t="str">
        <f aca="false">IF(A353="","",IFERROR(INDEX(Events!$D$2:$D$67,MATCH(A353,Events!$A$2:$A$67,0)),"Unknown event ID"))</f>
        <v>Tour du Gévaudan Occitanie femmes</v>
      </c>
      <c r="D353" s="12" t="s">
        <v>453</v>
      </c>
      <c r="E353" s="12" t="s">
        <v>59</v>
      </c>
      <c r="F353" s="12" t="s">
        <v>97</v>
      </c>
      <c r="G353" s="12" t="n">
        <v>1</v>
      </c>
      <c r="H353" s="12" t="s">
        <v>366</v>
      </c>
      <c r="I353" s="12"/>
      <c r="J353" s="12" t="s">
        <v>102</v>
      </c>
      <c r="K353" s="12" t="str">
        <f aca="false">IF(A353="","",IFERROR(IF(INDEX(Events!$J$2:$J$67,MATCH(A353,Events!$A$2:$A$67,0))="Yes",IF(ISNUMBER(SEARCH("Criterium final",D353)),"No","Yes"),"No"),""))</f>
        <v>No</v>
      </c>
      <c r="L353" s="12"/>
      <c r="M353" s="12" t="n">
        <f aca="false">IF(OR(A353="",F353=""),0,IF(COUNTIFS($A$2:A353,A353,$F$2:F353,F353)=1,1,0))</f>
        <v>0</v>
      </c>
      <c r="N353" s="12" t="str">
        <f aca="false">IF(A353="","",IFERROR(INDEX(Events!$F$2:$F$67,MATCH(A353,Events!$A$2:$A$67,0)),""))</f>
        <v>FRA</v>
      </c>
      <c r="O353" s="12" t="n">
        <f aca="false">IF(AND(G353=1,K353="Yes",N353="POL"),IF(COUNTIFS($A$2:A353,A353,$D$2:D353,D353,$E$2:E353,E353,$G$2:G353,1)=1,1,0),0)</f>
        <v>0</v>
      </c>
      <c r="P353" s="12" t="n">
        <f aca="false">IF(AND(ISNUMBER(G353),K353="Yes",N353="POL"),IF(AND(G353&gt;=1,G353&lt;=3,COUNTIFS($A$2:A353,A353,$D$2:D353,D353,$E$2:E353,E353,$G$2:G353,G353)=1),1,0),0)</f>
        <v>0</v>
      </c>
    </row>
    <row r="354" customFormat="false" ht="15" hidden="false" customHeight="false" outlineLevel="0" collapsed="false">
      <c r="A354" s="12" t="s">
        <v>230</v>
      </c>
      <c r="B354" s="13" t="n">
        <v>46165</v>
      </c>
      <c r="C354" s="12" t="str">
        <f aca="false">IF(A354="","",IFERROR(INDEX(Events!$D$2:$D$67,MATCH(A354,Events!$A$2:$A$67,0)),"Unknown event ID"))</f>
        <v>Polish Cup (road) – Lubuskie Warte Zachodu</v>
      </c>
      <c r="D354" s="12" t="s">
        <v>385</v>
      </c>
      <c r="E354" s="12" t="s">
        <v>99</v>
      </c>
      <c r="F354" s="12" t="s">
        <v>97</v>
      </c>
      <c r="G354" s="12" t="n">
        <v>1</v>
      </c>
      <c r="H354" s="12" t="s">
        <v>366</v>
      </c>
      <c r="I354" s="12"/>
      <c r="J354" s="12" t="s">
        <v>386</v>
      </c>
      <c r="K354" s="12" t="str">
        <f aca="false">IF(A354="","",IFERROR(IF(INDEX(Events!$J$2:$J$67,MATCH(A354,Events!$A$2:$A$67,0))="Yes",IF(ISNUMBER(SEARCH("Criterium final",D354)),"No","Yes"),"No"),""))</f>
        <v>No</v>
      </c>
      <c r="L354" s="12"/>
      <c r="M354" s="12" t="n">
        <f aca="false">IF(OR(A354="",F354=""),0,IF(COUNTIFS($A$2:A354,A354,$F$2:F354,F354)=1,1,0))</f>
        <v>1</v>
      </c>
      <c r="N354" s="12" t="str">
        <f aca="false">IF(A354="","",IFERROR(INDEX(Events!$F$2:$F$67,MATCH(A354,Events!$A$2:$A$67,0)),""))</f>
        <v>POL</v>
      </c>
      <c r="O354" s="12" t="n">
        <f aca="false">IF(AND(G354=1,K354="Yes",N354="POL"),IF(COUNTIFS($A$2:A354,A354,$D$2:D354,D354,$E$2:E354,E354,$G$2:G354,1)=1,1,0),0)</f>
        <v>0</v>
      </c>
      <c r="P354" s="12" t="n">
        <f aca="false">IF(AND(ISNUMBER(G354),K354="Yes",N354="POL"),IF(AND(G354&gt;=1,G354&lt;=3,COUNTIFS($A$2:A354,A354,$D$2:D354,D354,$E$2:E354,E354,$G$2:G354,G354)=1),1,0),0)</f>
        <v>0</v>
      </c>
    </row>
    <row r="355" customFormat="false" ht="15" hidden="false" customHeight="false" outlineLevel="0" collapsed="false">
      <c r="A355" s="12" t="s">
        <v>230</v>
      </c>
      <c r="B355" s="13" t="n">
        <v>46166</v>
      </c>
      <c r="C355" s="12" t="str">
        <f aca="false">IF(A355="","",IFERROR(INDEX(Events!$D$2:$D$67,MATCH(A355,Events!$A$2:$A$67,0)),"Unknown event ID"))</f>
        <v>Polish Cup (road) – Lubuskie Warte Zachodu</v>
      </c>
      <c r="D355" s="12" t="s">
        <v>476</v>
      </c>
      <c r="E355" s="12" t="s">
        <v>99</v>
      </c>
      <c r="F355" s="12" t="s">
        <v>97</v>
      </c>
      <c r="G355" s="12" t="n">
        <v>1</v>
      </c>
      <c r="H355" s="12" t="s">
        <v>366</v>
      </c>
      <c r="I355" s="12"/>
      <c r="J355" s="12" t="s">
        <v>386</v>
      </c>
      <c r="K355" s="12" t="str">
        <f aca="false">IF(A355="","",IFERROR(IF(INDEX(Events!$J$2:$J$67,MATCH(A355,Events!$A$2:$A$67,0))="Yes",IF(ISNUMBER(SEARCH("Criterium final",D355)),"No","Yes"),"No"),""))</f>
        <v>No</v>
      </c>
      <c r="L355" s="12"/>
      <c r="M355" s="12" t="n">
        <f aca="false">IF(OR(A355="",F355=""),0,IF(COUNTIFS($A$2:A355,A355,$F$2:F355,F355)=1,1,0))</f>
        <v>0</v>
      </c>
      <c r="N355" s="12" t="str">
        <f aca="false">IF(A355="","",IFERROR(INDEX(Events!$F$2:$F$67,MATCH(A355,Events!$A$2:$A$67,0)),""))</f>
        <v>POL</v>
      </c>
      <c r="O355" s="12" t="n">
        <f aca="false">IF(AND(G355=1,K355="Yes",N355="POL"),IF(COUNTIFS($A$2:A355,A355,$D$2:D355,D355,$E$2:E355,E355,$G$2:G355,1)=1,1,0),0)</f>
        <v>0</v>
      </c>
      <c r="P355" s="12" t="n">
        <f aca="false">IF(AND(ISNUMBER(G355),K355="Yes",N355="POL"),IF(AND(G355&gt;=1,G355&lt;=3,COUNTIFS($A$2:A355,A355,$D$2:D355,D355,$E$2:E355,E355,$G$2:G355,G355)=1),1,0),0)</f>
        <v>0</v>
      </c>
    </row>
    <row r="356" customFormat="false" ht="15" hidden="false" customHeight="false" outlineLevel="0" collapsed="false">
      <c r="A356" s="12" t="s">
        <v>330</v>
      </c>
      <c r="B356" s="13" t="n">
        <v>46198</v>
      </c>
      <c r="C356" s="12" t="str">
        <f aca="false">IF(A356="","",IFERROR(INDEX(Events!$D$2:$D$67,MATCH(A356,Events!$A$2:$A$67,0)),"Unknown event ID"))</f>
        <v>Czech National Road Championships</v>
      </c>
      <c r="D356" s="12" t="s">
        <v>387</v>
      </c>
      <c r="E356" s="12" t="s">
        <v>100</v>
      </c>
      <c r="F356" s="12" t="s">
        <v>97</v>
      </c>
      <c r="G356" s="12" t="n">
        <v>2</v>
      </c>
      <c r="H356" s="12" t="s">
        <v>366</v>
      </c>
      <c r="I356" s="12"/>
      <c r="J356" s="12" t="s">
        <v>102</v>
      </c>
      <c r="K356" s="12" t="str">
        <f aca="false">IF(A356="","",IFERROR(IF(INDEX(Events!$J$2:$J$67,MATCH(A356,Events!$A$2:$A$67,0))="Yes",IF(ISNUMBER(SEARCH("Criterium final",D356)),"No","Yes"),"No"),""))</f>
        <v>Yes</v>
      </c>
      <c r="L356" s="12"/>
      <c r="M356" s="12" t="n">
        <f aca="false">IF(OR(A356="",F356=""),0,IF(COUNTIFS($A$2:A356,A356,$F$2:F356,F356)=1,1,0))</f>
        <v>1</v>
      </c>
      <c r="N356" s="12" t="str">
        <f aca="false">IF(A356="","",IFERROR(INDEX(Events!$F$2:$F$67,MATCH(A356,Events!$A$2:$A$67,0)),""))</f>
        <v>CZE</v>
      </c>
      <c r="O356" s="12" t="n">
        <f aca="false">IF(AND(G356=1,K356="Yes",N356="POL"),IF(COUNTIFS($A$2:A356,A356,$D$2:D356,D356,$E$2:E356,E356,$G$2:G356,1)=1,1,0),0)</f>
        <v>0</v>
      </c>
      <c r="P356" s="12" t="n">
        <f aca="false">IF(AND(ISNUMBER(G356),K356="Yes",N356="POL"),IF(AND(G356&gt;=1,G356&lt;=3,COUNTIFS($A$2:A356,A356,$D$2:D356,D356,$E$2:E356,E356,$G$2:G356,G356)=1),1,0),0)</f>
        <v>0</v>
      </c>
    </row>
    <row r="357" customFormat="false" ht="15" hidden="false" customHeight="false" outlineLevel="0" collapsed="false">
      <c r="A357" s="12" t="s">
        <v>330</v>
      </c>
      <c r="B357" s="13" t="n">
        <v>46200</v>
      </c>
      <c r="C357" s="12" t="str">
        <f aca="false">IF(A357="","",IFERROR(INDEX(Events!$D$2:$D$67,MATCH(A357,Events!$A$2:$A$67,0)),"Unknown event ID"))</f>
        <v>Czech National Road Championships</v>
      </c>
      <c r="D357" s="12" t="s">
        <v>367</v>
      </c>
      <c r="E357" s="12" t="s">
        <v>100</v>
      </c>
      <c r="F357" s="12" t="s">
        <v>97</v>
      </c>
      <c r="G357" s="12" t="n">
        <v>5</v>
      </c>
      <c r="H357" s="12" t="s">
        <v>366</v>
      </c>
      <c r="I357" s="12"/>
      <c r="J357" s="12" t="s">
        <v>102</v>
      </c>
      <c r="K357" s="12" t="str">
        <f aca="false">IF(A357="","",IFERROR(IF(INDEX(Events!$J$2:$J$67,MATCH(A357,Events!$A$2:$A$67,0))="Yes",IF(ISNUMBER(SEARCH("Criterium final",D357)),"No","Yes"),"No"),""))</f>
        <v>Yes</v>
      </c>
      <c r="L357" s="12"/>
      <c r="M357" s="12" t="n">
        <f aca="false">IF(OR(A357="",F357=""),0,IF(COUNTIFS($A$2:A357,A357,$F$2:F357,F357)=1,1,0))</f>
        <v>0</v>
      </c>
      <c r="N357" s="12" t="str">
        <f aca="false">IF(A357="","",IFERROR(INDEX(Events!$F$2:$F$67,MATCH(A357,Events!$A$2:$A$67,0)),""))</f>
        <v>CZE</v>
      </c>
      <c r="O357" s="12" t="n">
        <f aca="false">IF(AND(G357=1,K357="Yes",N357="POL"),IF(COUNTIFS($A$2:A357,A357,$D$2:D357,D357,$E$2:E357,E357,$G$2:G357,1)=1,1,0),0)</f>
        <v>0</v>
      </c>
      <c r="P357" s="12" t="n">
        <f aca="false">IF(AND(ISNUMBER(G357),K357="Yes",N357="POL"),IF(AND(G357&gt;=1,G357&lt;=3,COUNTIFS($A$2:A357,A357,$D$2:D357,D357,$E$2:E357,E357,$G$2:G357,G357)=1),1,0),0)</f>
        <v>0</v>
      </c>
    </row>
    <row r="358" customFormat="false" ht="15" hidden="false" customHeight="false" outlineLevel="0" collapsed="false">
      <c r="A358" s="12" t="s">
        <v>332</v>
      </c>
      <c r="B358" s="13" t="n">
        <v>46214</v>
      </c>
      <c r="C358" s="12" t="str">
        <f aca="false">IF(A358="","",IFERROR(INDEX(Events!$D$2:$D$67,MATCH(A358,Events!$A$2:$A$67,0)),"Unknown event ID"))</f>
        <v>VALROMEY Tour Féminin</v>
      </c>
      <c r="D358" s="12" t="s">
        <v>477</v>
      </c>
      <c r="E358" s="12" t="s">
        <v>59</v>
      </c>
      <c r="F358" s="12" t="s">
        <v>97</v>
      </c>
      <c r="G358" s="12" t="n">
        <v>13</v>
      </c>
      <c r="H358" s="12" t="s">
        <v>366</v>
      </c>
      <c r="I358" s="12"/>
      <c r="J358" s="12" t="s">
        <v>102</v>
      </c>
      <c r="K358" s="12" t="str">
        <f aca="false">IF(A358="","",IFERROR(IF(INDEX(Events!$J$2:$J$67,MATCH(A358,Events!$A$2:$A$67,0))="Yes",IF(ISNUMBER(SEARCH("Criterium final",D358)),"No","Yes"),"No"),""))</f>
        <v>No</v>
      </c>
      <c r="L358" s="12"/>
      <c r="M358" s="12" t="n">
        <f aca="false">IF(OR(A358="",F358=""),0,IF(COUNTIFS($A$2:A358,A358,$F$2:F358,F358)=1,1,0))</f>
        <v>1</v>
      </c>
      <c r="N358" s="12" t="str">
        <f aca="false">IF(A358="","",IFERROR(INDEX(Events!$F$2:$F$67,MATCH(A358,Events!$A$2:$A$67,0)),""))</f>
        <v>FRA</v>
      </c>
      <c r="O358" s="12" t="n">
        <f aca="false">IF(AND(G358=1,K358="Yes",N358="POL"),IF(COUNTIFS($A$2:A358,A358,$D$2:D358,D358,$E$2:E358,E358,$G$2:G358,1)=1,1,0),0)</f>
        <v>0</v>
      </c>
      <c r="P358" s="12" t="n">
        <f aca="false">IF(AND(ISNUMBER(G358),K358="Yes",N358="POL"),IF(AND(G358&gt;=1,G358&lt;=3,COUNTIFS($A$2:A358,A358,$D$2:D358,D358,$E$2:E358,E358,$G$2:G358,G358)=1),1,0),0)</f>
        <v>0</v>
      </c>
    </row>
    <row r="359" customFormat="false" ht="15" hidden="false" customHeight="false" outlineLevel="0" collapsed="false">
      <c r="A359" s="12" t="s">
        <v>332</v>
      </c>
      <c r="B359" s="13" t="n">
        <v>46216</v>
      </c>
      <c r="C359" s="12" t="str">
        <f aca="false">IF(A359="","",IFERROR(INDEX(Events!$D$2:$D$67,MATCH(A359,Events!$A$2:$A$67,0)),"Unknown event ID"))</f>
        <v>VALROMEY Tour Féminin</v>
      </c>
      <c r="D359" s="12" t="s">
        <v>478</v>
      </c>
      <c r="E359" s="12" t="s">
        <v>59</v>
      </c>
      <c r="F359" s="12" t="s">
        <v>97</v>
      </c>
      <c r="G359" s="12" t="n">
        <v>35</v>
      </c>
      <c r="H359" s="12" t="s">
        <v>366</v>
      </c>
      <c r="I359" s="12"/>
      <c r="J359" s="12" t="s">
        <v>102</v>
      </c>
      <c r="K359" s="12" t="str">
        <f aca="false">IF(A359="","",IFERROR(IF(INDEX(Events!$J$2:$J$67,MATCH(A359,Events!$A$2:$A$67,0))="Yes",IF(ISNUMBER(SEARCH("Criterium final",D359)),"No","Yes"),"No"),""))</f>
        <v>No</v>
      </c>
      <c r="L359" s="12"/>
      <c r="M359" s="12" t="n">
        <f aca="false">IF(OR(A359="",F359=""),0,IF(COUNTIFS($A$2:A359,A359,$F$2:F359,F359)=1,1,0))</f>
        <v>0</v>
      </c>
      <c r="N359" s="12" t="str">
        <f aca="false">IF(A359="","",IFERROR(INDEX(Events!$F$2:$F$67,MATCH(A359,Events!$A$2:$A$67,0)),""))</f>
        <v>FRA</v>
      </c>
      <c r="O359" s="12" t="n">
        <f aca="false">IF(AND(G359=1,K359="Yes",N359="POL"),IF(COUNTIFS($A$2:A359,A359,$D$2:D359,D359,$E$2:E359,E359,$G$2:G359,1)=1,1,0),0)</f>
        <v>0</v>
      </c>
      <c r="P359" s="12" t="n">
        <f aca="false">IF(AND(ISNUMBER(G359),K359="Yes",N359="POL"),IF(AND(G359&gt;=1,G359&lt;=3,COUNTIFS($A$2:A359,A359,$D$2:D359,D359,$E$2:E359,E359,$G$2:G359,G359)=1),1,0),0)</f>
        <v>0</v>
      </c>
    </row>
    <row r="360" customFormat="false" ht="15" hidden="false" customHeight="false" outlineLevel="0" collapsed="false">
      <c r="A360" s="12" t="s">
        <v>332</v>
      </c>
      <c r="B360" s="13" t="n">
        <v>46217</v>
      </c>
      <c r="C360" s="12" t="str">
        <f aca="false">IF(A360="","",IFERROR(INDEX(Events!$D$2:$D$67,MATCH(A360,Events!$A$2:$A$67,0)),"Unknown event ID"))</f>
        <v>VALROMEY Tour Féminin</v>
      </c>
      <c r="D360" s="12" t="s">
        <v>479</v>
      </c>
      <c r="E360" s="12" t="s">
        <v>59</v>
      </c>
      <c r="F360" s="12" t="s">
        <v>97</v>
      </c>
      <c r="G360" s="12" t="n">
        <v>59</v>
      </c>
      <c r="H360" s="12" t="s">
        <v>366</v>
      </c>
      <c r="I360" s="12"/>
      <c r="J360" s="12" t="s">
        <v>102</v>
      </c>
      <c r="K360" s="12" t="str">
        <f aca="false">IF(A360="","",IFERROR(IF(INDEX(Events!$J$2:$J$67,MATCH(A360,Events!$A$2:$A$67,0))="Yes",IF(ISNUMBER(SEARCH("Criterium final",D360)),"No","Yes"),"No"),""))</f>
        <v>No</v>
      </c>
      <c r="L360" s="12"/>
      <c r="M360" s="12" t="n">
        <f aca="false">IF(OR(A360="",F360=""),0,IF(COUNTIFS($A$2:A360,A360,$F$2:F360,F360)=1,1,0))</f>
        <v>0</v>
      </c>
      <c r="N360" s="12" t="str">
        <f aca="false">IF(A360="","",IFERROR(INDEX(Events!$F$2:$F$67,MATCH(A360,Events!$A$2:$A$67,0)),""))</f>
        <v>FRA</v>
      </c>
      <c r="O360" s="12" t="n">
        <f aca="false">IF(AND(G360=1,K360="Yes",N360="POL"),IF(COUNTIFS($A$2:A360,A360,$D$2:D360,D360,$E$2:E360,E360,$G$2:G360,1)=1,1,0),0)</f>
        <v>0</v>
      </c>
      <c r="P360" s="12" t="n">
        <f aca="false">IF(AND(ISNUMBER(G360),K360="Yes",N360="POL"),IF(AND(G360&gt;=1,G360&lt;=3,COUNTIFS($A$2:A360,A360,$D$2:D360,D360,$E$2:E360,E360,$G$2:G360,G360)=1),1,0),0)</f>
        <v>0</v>
      </c>
    </row>
    <row r="361" customFormat="false" ht="15" hidden="false" customHeight="false" outlineLevel="0" collapsed="false">
      <c r="A361" s="12" t="s">
        <v>259</v>
      </c>
      <c r="B361" s="13" t="n">
        <v>46227</v>
      </c>
      <c r="C361" s="12" t="str">
        <f aca="false">IF(A361="","",IFERROR(INDEX(Events!$D$2:$D$67,MATCH(A361,Events!$A$2:$A$67,0)),"Unknown event ID"))</f>
        <v>Watersley Ladies Challenge</v>
      </c>
      <c r="D361" s="12" t="s">
        <v>377</v>
      </c>
      <c r="E361" s="12" t="s">
        <v>99</v>
      </c>
      <c r="F361" s="12" t="s">
        <v>97</v>
      </c>
      <c r="G361" s="12" t="n">
        <v>8</v>
      </c>
      <c r="H361" s="12" t="s">
        <v>366</v>
      </c>
      <c r="I361" s="12"/>
      <c r="J361" s="12" t="s">
        <v>102</v>
      </c>
      <c r="K361" s="12" t="str">
        <f aca="false">IF(A361="","",IFERROR(IF(INDEX(Events!$J$2:$J$67,MATCH(A361,Events!$A$2:$A$67,0))="Yes",IF(ISNUMBER(SEARCH("Criterium final",D361)),"No","Yes"),"No"),""))</f>
        <v>No</v>
      </c>
      <c r="L361" s="12"/>
      <c r="M361" s="12" t="n">
        <f aca="false">IF(OR(A361="",F361=""),0,IF(COUNTIFS($A$2:A361,A361,$F$2:F361,F361)=1,1,0))</f>
        <v>1</v>
      </c>
      <c r="N361" s="12" t="str">
        <f aca="false">IF(A361="","",IFERROR(INDEX(Events!$F$2:$F$67,MATCH(A361,Events!$A$2:$A$67,0)),""))</f>
        <v>NED</v>
      </c>
      <c r="O361" s="12" t="n">
        <f aca="false">IF(AND(G361=1,K361="Yes",N361="POL"),IF(COUNTIFS($A$2:A361,A361,$D$2:D361,D361,$E$2:E361,E361,$G$2:G361,1)=1,1,0),0)</f>
        <v>0</v>
      </c>
      <c r="P361" s="12" t="n">
        <f aca="false">IF(AND(ISNUMBER(G361),K361="Yes",N361="POL"),IF(AND(G361&gt;=1,G361&lt;=3,COUNTIFS($A$2:A361,A361,$D$2:D361,D361,$E$2:E361,E361,$G$2:G361,G361)=1),1,0),0)</f>
        <v>0</v>
      </c>
    </row>
    <row r="362" customFormat="false" ht="15" hidden="false" customHeight="false" outlineLevel="0" collapsed="false">
      <c r="A362" s="12" t="s">
        <v>259</v>
      </c>
      <c r="B362" s="13" t="n">
        <v>46228</v>
      </c>
      <c r="C362" s="12" t="str">
        <f aca="false">IF(A362="","",IFERROR(INDEX(Events!$D$2:$D$67,MATCH(A362,Events!$A$2:$A$67,0)),"Unknown event ID"))</f>
        <v>Watersley Ladies Challenge</v>
      </c>
      <c r="D362" s="12" t="s">
        <v>373</v>
      </c>
      <c r="E362" s="12" t="s">
        <v>99</v>
      </c>
      <c r="F362" s="12" t="s">
        <v>97</v>
      </c>
      <c r="G362" s="12" t="n">
        <v>26</v>
      </c>
      <c r="H362" s="12" t="s">
        <v>366</v>
      </c>
      <c r="I362" s="12"/>
      <c r="J362" s="12" t="s">
        <v>102</v>
      </c>
      <c r="K362" s="12" t="str">
        <f aca="false">IF(A362="","",IFERROR(IF(INDEX(Events!$J$2:$J$67,MATCH(A362,Events!$A$2:$A$67,0))="Yes",IF(ISNUMBER(SEARCH("Criterium final",D362)),"No","Yes"),"No"),""))</f>
        <v>No</v>
      </c>
      <c r="L362" s="12"/>
      <c r="M362" s="12" t="n">
        <f aca="false">IF(OR(A362="",F362=""),0,IF(COUNTIFS($A$2:A362,A362,$F$2:F362,F362)=1,1,0))</f>
        <v>0</v>
      </c>
      <c r="N362" s="12" t="str">
        <f aca="false">IF(A362="","",IFERROR(INDEX(Events!$F$2:$F$67,MATCH(A362,Events!$A$2:$A$67,0)),""))</f>
        <v>NED</v>
      </c>
      <c r="O362" s="12" t="n">
        <f aca="false">IF(AND(G362=1,K362="Yes",N362="POL"),IF(COUNTIFS($A$2:A362,A362,$D$2:D362,D362,$E$2:E362,E362,$G$2:G362,1)=1,1,0),0)</f>
        <v>0</v>
      </c>
      <c r="P362" s="12" t="n">
        <f aca="false">IF(AND(ISNUMBER(G362),K362="Yes",N362="POL"),IF(AND(G362&gt;=1,G362&lt;=3,COUNTIFS($A$2:A362,A362,$D$2:D362,D362,$E$2:E362,E362,$G$2:G362,G362)=1),1,0),0)</f>
        <v>0</v>
      </c>
    </row>
    <row r="363" customFormat="false" ht="15" hidden="false" customHeight="false" outlineLevel="0" collapsed="false">
      <c r="A363" s="12" t="s">
        <v>259</v>
      </c>
      <c r="B363" s="13" t="n">
        <v>46229</v>
      </c>
      <c r="C363" s="12" t="str">
        <f aca="false">IF(A363="","",IFERROR(INDEX(Events!$D$2:$D$67,MATCH(A363,Events!$A$2:$A$67,0)),"Unknown event ID"))</f>
        <v>Watersley Ladies Challenge</v>
      </c>
      <c r="D363" s="12" t="s">
        <v>374</v>
      </c>
      <c r="E363" s="12" t="s">
        <v>99</v>
      </c>
      <c r="F363" s="12" t="s">
        <v>97</v>
      </c>
      <c r="G363" s="12" t="n">
        <v>26</v>
      </c>
      <c r="H363" s="12" t="s">
        <v>366</v>
      </c>
      <c r="I363" s="12"/>
      <c r="J363" s="12" t="s">
        <v>102</v>
      </c>
      <c r="K363" s="12" t="str">
        <f aca="false">IF(A363="","",IFERROR(IF(INDEX(Events!$J$2:$J$67,MATCH(A363,Events!$A$2:$A$67,0))="Yes",IF(ISNUMBER(SEARCH("Criterium final",D363)),"No","Yes"),"No"),""))</f>
        <v>No</v>
      </c>
      <c r="L363" s="12"/>
      <c r="M363" s="12" t="n">
        <f aca="false">IF(OR(A363="",F363=""),0,IF(COUNTIFS($A$2:A363,A363,$F$2:F363,F363)=1,1,0))</f>
        <v>0</v>
      </c>
      <c r="N363" s="12" t="str">
        <f aca="false">IF(A363="","",IFERROR(INDEX(Events!$F$2:$F$67,MATCH(A363,Events!$A$2:$A$67,0)),""))</f>
        <v>NED</v>
      </c>
      <c r="O363" s="12" t="n">
        <f aca="false">IF(AND(G363=1,K363="Yes",N363="POL"),IF(COUNTIFS($A$2:A363,A363,$D$2:D363,D363,$E$2:E363,E363,$G$2:G363,1)=1,1,0),0)</f>
        <v>0</v>
      </c>
      <c r="P363" s="12" t="n">
        <f aca="false">IF(AND(ISNUMBER(G363),K363="Yes",N363="POL"),IF(AND(G363&gt;=1,G363&lt;=3,COUNTIFS($A$2:A363,A363,$D$2:D363,D363,$E$2:E363,E363,$G$2:G363,G363)=1),1,0),0)</f>
        <v>0</v>
      </c>
    </row>
    <row r="364" customFormat="false" ht="15" hidden="false" customHeight="false" outlineLevel="0" collapsed="false">
      <c r="A364" s="12" t="s">
        <v>259</v>
      </c>
      <c r="B364" s="13" t="n">
        <v>46229</v>
      </c>
      <c r="C364" s="12" t="str">
        <f aca="false">IF(A364="","",IFERROR(INDEX(Events!$D$2:$D$67,MATCH(A364,Events!$A$2:$A$67,0)),"Unknown event ID"))</f>
        <v>Watersley Ladies Challenge</v>
      </c>
      <c r="D364" s="12" t="s">
        <v>376</v>
      </c>
      <c r="E364" s="12" t="s">
        <v>99</v>
      </c>
      <c r="F364" s="12" t="s">
        <v>97</v>
      </c>
      <c r="G364" s="12" t="n">
        <v>19</v>
      </c>
      <c r="H364" s="12" t="s">
        <v>366</v>
      </c>
      <c r="I364" s="12"/>
      <c r="J364" s="12" t="s">
        <v>102</v>
      </c>
      <c r="K364" s="12" t="str">
        <f aca="false">IF(A364="","",IFERROR(IF(INDEX(Events!$J$2:$J$67,MATCH(A364,Events!$A$2:$A$67,0))="Yes",IF(ISNUMBER(SEARCH("Criterium final",D364)),"No","Yes"),"No"),""))</f>
        <v>No</v>
      </c>
      <c r="L364" s="12"/>
      <c r="M364" s="12" t="n">
        <f aca="false">IF(OR(A364="",F364=""),0,IF(COUNTIFS($A$2:A364,A364,$F$2:F364,F364)=1,1,0))</f>
        <v>0</v>
      </c>
      <c r="N364" s="12" t="str">
        <f aca="false">IF(A364="","",IFERROR(INDEX(Events!$F$2:$F$67,MATCH(A364,Events!$A$2:$A$67,0)),""))</f>
        <v>NED</v>
      </c>
      <c r="O364" s="12" t="n">
        <f aca="false">IF(AND(G364=1,K364="Yes",N364="POL"),IF(COUNTIFS($A$2:A364,A364,$D$2:D364,D364,$E$2:E364,E364,$G$2:G364,1)=1,1,0),0)</f>
        <v>0</v>
      </c>
      <c r="P364" s="12" t="n">
        <f aca="false">IF(AND(ISNUMBER(G364),K364="Yes",N364="POL"),IF(AND(G364&gt;=1,G364&lt;=3,COUNTIFS($A$2:A364,A364,$D$2:D364,D364,$E$2:E364,E364,$G$2:G364,G364)=1),1,0),0)</f>
        <v>0</v>
      </c>
    </row>
    <row r="365" customFormat="false" ht="15" hidden="false" customHeight="false" outlineLevel="0" collapsed="false">
      <c r="A365" s="12" t="s">
        <v>273</v>
      </c>
      <c r="B365" s="13" t="n">
        <v>46247</v>
      </c>
      <c r="C365" s="12" t="str">
        <f aca="false">IF(A365="","",IFERROR(INDEX(Events!$D$2:$D$67,MATCH(A365,Events!$A$2:$A$67,0)),"Unknown event ID"))</f>
        <v>Sowiogórski Tour</v>
      </c>
      <c r="D365" s="12" t="s">
        <v>416</v>
      </c>
      <c r="E365" s="12" t="s">
        <v>99</v>
      </c>
      <c r="F365" s="12" t="s">
        <v>97</v>
      </c>
      <c r="G365" s="12" t="n">
        <v>1</v>
      </c>
      <c r="H365" s="12" t="s">
        <v>366</v>
      </c>
      <c r="I365" s="12"/>
      <c r="J365" s="12" t="s">
        <v>417</v>
      </c>
      <c r="K365" s="12" t="str">
        <f aca="false">IF(A365="","",IFERROR(IF(INDEX(Events!$J$2:$J$67,MATCH(A365,Events!$A$2:$A$67,0))="Yes",IF(ISNUMBER(SEARCH("Criterium final",D365)),"No","Yes"),"No"),""))</f>
        <v>No</v>
      </c>
      <c r="L365" s="12"/>
      <c r="M365" s="12" t="n">
        <f aca="false">IF(OR(A365="",F365=""),0,IF(COUNTIFS($A$2:A365,A365,$F$2:F365,F365)=1,1,0))</f>
        <v>1</v>
      </c>
      <c r="N365" s="12" t="str">
        <f aca="false">IF(A365="","",IFERROR(INDEX(Events!$F$2:$F$67,MATCH(A365,Events!$A$2:$A$67,0)),""))</f>
        <v>POL</v>
      </c>
      <c r="O365" s="12" t="n">
        <f aca="false">IF(AND(G365=1,K365="Yes",N365="POL"),IF(COUNTIFS($A$2:A365,A365,$D$2:D365,D365,$E$2:E365,E365,$G$2:G365,1)=1,1,0),0)</f>
        <v>0</v>
      </c>
      <c r="P365" s="12" t="n">
        <f aca="false">IF(AND(ISNUMBER(G365),K365="Yes",N365="POL"),IF(AND(G365&gt;=1,G365&lt;=3,COUNTIFS($A$2:A365,A365,$D$2:D365,D365,$E$2:E365,E365,$G$2:G365,G365)=1),1,0),0)</f>
        <v>0</v>
      </c>
    </row>
    <row r="366" customFormat="false" ht="15" hidden="false" customHeight="false" outlineLevel="0" collapsed="false">
      <c r="A366" s="12" t="s">
        <v>273</v>
      </c>
      <c r="B366" s="13" t="n">
        <v>46250</v>
      </c>
      <c r="C366" s="12" t="str">
        <f aca="false">IF(A366="","",IFERROR(INDEX(Events!$D$2:$D$67,MATCH(A366,Events!$A$2:$A$67,0)),"Unknown event ID"))</f>
        <v>Sowiogórski Tour</v>
      </c>
      <c r="D366" s="12" t="s">
        <v>375</v>
      </c>
      <c r="E366" s="12" t="s">
        <v>99</v>
      </c>
      <c r="F366" s="12" t="s">
        <v>97</v>
      </c>
      <c r="G366" s="12" t="n">
        <v>1</v>
      </c>
      <c r="H366" s="12" t="s">
        <v>366</v>
      </c>
      <c r="I366" s="12"/>
      <c r="J366" s="12" t="s">
        <v>421</v>
      </c>
      <c r="K366" s="12" t="str">
        <f aca="false">IF(A366="","",IFERROR(IF(INDEX(Events!$J$2:$J$67,MATCH(A366,Events!$A$2:$A$67,0))="Yes",IF(ISNUMBER(SEARCH("Criterium final",D366)),"No","Yes"),"No"),""))</f>
        <v>No</v>
      </c>
      <c r="L366" s="12"/>
      <c r="M366" s="12" t="n">
        <f aca="false">IF(OR(A366="",F366=""),0,IF(COUNTIFS($A$2:A366,A366,$F$2:F366,F366)=1,1,0))</f>
        <v>0</v>
      </c>
      <c r="N366" s="12" t="str">
        <f aca="false">IF(A366="","",IFERROR(INDEX(Events!$F$2:$F$67,MATCH(A366,Events!$A$2:$A$67,0)),""))</f>
        <v>POL</v>
      </c>
      <c r="O366" s="12" t="n">
        <f aca="false">IF(AND(G366=1,K366="Yes",N366="POL"),IF(COUNTIFS($A$2:A366,A366,$D$2:D366,D366,$E$2:E366,E366,$G$2:G366,1)=1,1,0),0)</f>
        <v>0</v>
      </c>
      <c r="P366" s="12" t="n">
        <f aca="false">IF(AND(ISNUMBER(G366),K366="Yes",N366="POL"),IF(AND(G366&gt;=1,G366&lt;=3,COUNTIFS($A$2:A366,A366,$D$2:D366,D366,$E$2:E366,E366,$G$2:G366,G366)=1),1,0),0)</f>
        <v>0</v>
      </c>
    </row>
    <row r="367" customFormat="false" ht="15" hidden="false" customHeight="false" outlineLevel="0" collapsed="false">
      <c r="A367" s="12" t="s">
        <v>273</v>
      </c>
      <c r="B367" s="13" t="n">
        <v>46250</v>
      </c>
      <c r="C367" s="12" t="str">
        <f aca="false">IF(A367="","",IFERROR(INDEX(Events!$D$2:$D$67,MATCH(A367,Events!$A$2:$A$67,0)),"Unknown event ID"))</f>
        <v>Sowiogórski Tour</v>
      </c>
      <c r="D367" s="12" t="s">
        <v>376</v>
      </c>
      <c r="E367" s="12" t="s">
        <v>99</v>
      </c>
      <c r="F367" s="12" t="s">
        <v>97</v>
      </c>
      <c r="G367" s="12" t="n">
        <v>1</v>
      </c>
      <c r="H367" s="12" t="s">
        <v>366</v>
      </c>
      <c r="I367" s="12"/>
      <c r="J367" s="12" t="s">
        <v>421</v>
      </c>
      <c r="K367" s="12" t="str">
        <f aca="false">IF(A367="","",IFERROR(IF(INDEX(Events!$J$2:$J$67,MATCH(A367,Events!$A$2:$A$67,0))="Yes",IF(ISNUMBER(SEARCH("Criterium final",D367)),"No","Yes"),"No"),""))</f>
        <v>No</v>
      </c>
      <c r="L367" s="12"/>
      <c r="M367" s="12" t="n">
        <f aca="false">IF(OR(A367="",F367=""),0,IF(COUNTIFS($A$2:A367,A367,$F$2:F367,F367)=1,1,0))</f>
        <v>0</v>
      </c>
      <c r="N367" s="12" t="str">
        <f aca="false">IF(A367="","",IFERROR(INDEX(Events!$F$2:$F$67,MATCH(A367,Events!$A$2:$A$67,0)),""))</f>
        <v>POL</v>
      </c>
      <c r="O367" s="12" t="n">
        <f aca="false">IF(AND(G367=1,K367="Yes",N367="POL"),IF(COUNTIFS($A$2:A367,A367,$D$2:D367,D367,$E$2:E367,E367,$G$2:G367,1)=1,1,0),0)</f>
        <v>0</v>
      </c>
      <c r="P367" s="12" t="n">
        <f aca="false">IF(AND(ISNUMBER(G367),K367="Yes",N367="POL"),IF(AND(G367&gt;=1,G367&lt;=3,COUNTIFS($A$2:A367,A367,$D$2:D367,D367,$E$2:E367,E367,$G$2:G367,G367)=1),1,0),0)</f>
        <v>0</v>
      </c>
    </row>
    <row r="368" customFormat="false" ht="15" hidden="false" customHeight="false" outlineLevel="0" collapsed="false">
      <c r="A368" s="12" t="s">
        <v>344</v>
      </c>
      <c r="B368" s="13" t="n">
        <v>46260</v>
      </c>
      <c r="C368" s="12" t="str">
        <f aca="false">IF(A368="","",IFERROR(INDEX(Events!$D$2:$D$67,MATCH(A368,Events!$A$2:$A$67,0)),"Unknown event ID"))</f>
        <v>Druivenkoers – Overijse (juniors)</v>
      </c>
      <c r="D368" s="12" t="s">
        <v>365</v>
      </c>
      <c r="E368" s="12" t="s">
        <v>99</v>
      </c>
      <c r="F368" s="12" t="s">
        <v>97</v>
      </c>
      <c r="G368" s="12" t="n">
        <v>6</v>
      </c>
      <c r="H368" s="12" t="s">
        <v>366</v>
      </c>
      <c r="I368" s="12"/>
      <c r="J368" s="12" t="s">
        <v>102</v>
      </c>
      <c r="K368" s="12" t="str">
        <f aca="false">IF(A368="","",IFERROR(IF(INDEX(Events!$J$2:$J$67,MATCH(A368,Events!$A$2:$A$67,0))="Yes",IF(ISNUMBER(SEARCH("Criterium final",D368)),"No","Yes"),"No"),""))</f>
        <v>No</v>
      </c>
      <c r="L368" s="12"/>
      <c r="M368" s="12" t="n">
        <f aca="false">IF(OR(A368="",F368=""),0,IF(COUNTIFS($A$2:A368,A368,$F$2:F368,F368)=1,1,0))</f>
        <v>1</v>
      </c>
      <c r="N368" s="12" t="str">
        <f aca="false">IF(A368="","",IFERROR(INDEX(Events!$F$2:$F$67,MATCH(A368,Events!$A$2:$A$67,0)),""))</f>
        <v>BEL</v>
      </c>
      <c r="O368" s="12" t="n">
        <f aca="false">IF(AND(G368=1,K368="Yes",N368="POL"),IF(COUNTIFS($A$2:A368,A368,$D$2:D368,D368,$E$2:E368,E368,$G$2:G368,1)=1,1,0),0)</f>
        <v>0</v>
      </c>
      <c r="P368" s="12" t="n">
        <f aca="false">IF(AND(ISNUMBER(G368),K368="Yes",N368="POL"),IF(AND(G368&gt;=1,G368&lt;=3,COUNTIFS($A$2:A368,A368,$D$2:D368,D368,$E$2:E368,E368,$G$2:G368,G368)=1),1,0),0)</f>
        <v>0</v>
      </c>
    </row>
    <row r="369" customFormat="false" ht="15" hidden="false" customHeight="false" outlineLevel="0" collapsed="false">
      <c r="A369" s="12" t="s">
        <v>346</v>
      </c>
      <c r="B369" s="13" t="n">
        <v>46287</v>
      </c>
      <c r="C369" s="12" t="str">
        <f aca="false">IF(A369="","",IFERROR(INDEX(Events!$D$2:$D$67,MATCH(A369,Events!$A$2:$A$67,0)),"Unknown event ID"))</f>
        <v>UCI Road World Championships</v>
      </c>
      <c r="D369" s="12" t="s">
        <v>387</v>
      </c>
      <c r="E369" s="12" t="s">
        <v>100</v>
      </c>
      <c r="F369" s="12" t="s">
        <v>97</v>
      </c>
      <c r="G369" s="12" t="n">
        <v>29</v>
      </c>
      <c r="H369" s="12" t="s">
        <v>366</v>
      </c>
      <c r="I369" s="12"/>
      <c r="J369" s="12" t="s">
        <v>102</v>
      </c>
      <c r="K369" s="12" t="str">
        <f aca="false">IF(A369="","",IFERROR(IF(INDEX(Events!$J$2:$J$67,MATCH(A369,Events!$A$2:$A$67,0))="Yes",IF(ISNUMBER(SEARCH("Criterium final",D369)),"No","Yes"),"No"),""))</f>
        <v>No</v>
      </c>
      <c r="L369" s="12"/>
      <c r="M369" s="12" t="n">
        <f aca="false">IF(OR(A369="",F369=""),0,IF(COUNTIFS($A$2:A369,A369,$F$2:F369,F369)=1,1,0))</f>
        <v>1</v>
      </c>
      <c r="N369" s="12" t="str">
        <f aca="false">IF(A369="","",IFERROR(INDEX(Events!$F$2:$F$67,MATCH(A369,Events!$A$2:$A$67,0)),""))</f>
        <v>CAN</v>
      </c>
      <c r="O369" s="12" t="n">
        <f aca="false">IF(AND(G369=1,K369="Yes",N369="POL"),IF(COUNTIFS($A$2:A369,A369,$D$2:D369,D369,$E$2:E369,E369,$G$2:G369,1)=1,1,0),0)</f>
        <v>0</v>
      </c>
      <c r="P369" s="12" t="n">
        <f aca="false">IF(AND(ISNUMBER(G369),K369="Yes",N369="POL"),IF(AND(G369&gt;=1,G369&lt;=3,COUNTIFS($A$2:A369,A369,$D$2:D369,D369,$E$2:E369,E369,$G$2:G369,G369)=1),1,0),0)</f>
        <v>0</v>
      </c>
    </row>
    <row r="370" customFormat="false" ht="15" hidden="false" customHeight="false" outlineLevel="0" collapsed="false">
      <c r="A370" s="12" t="s">
        <v>346</v>
      </c>
      <c r="B370" s="13" t="n">
        <v>46290</v>
      </c>
      <c r="C370" s="12" t="str">
        <f aca="false">IF(A370="","",IFERROR(INDEX(Events!$D$2:$D$67,MATCH(A370,Events!$A$2:$A$67,0)),"Unknown event ID"))</f>
        <v>UCI Road World Championships</v>
      </c>
      <c r="D370" s="12" t="s">
        <v>367</v>
      </c>
      <c r="E370" s="12" t="s">
        <v>100</v>
      </c>
      <c r="F370" s="12" t="s">
        <v>97</v>
      </c>
      <c r="G370" s="12" t="n">
        <v>47</v>
      </c>
      <c r="H370" s="12" t="s">
        <v>366</v>
      </c>
      <c r="I370" s="12"/>
      <c r="J370" s="12" t="s">
        <v>102</v>
      </c>
      <c r="K370" s="12" t="str">
        <f aca="false">IF(A370="","",IFERROR(IF(INDEX(Events!$J$2:$J$67,MATCH(A370,Events!$A$2:$A$67,0))="Yes",IF(ISNUMBER(SEARCH("Criterium final",D370)),"No","Yes"),"No"),""))</f>
        <v>No</v>
      </c>
      <c r="L370" s="12"/>
      <c r="M370" s="12" t="n">
        <f aca="false">IF(OR(A370="",F370=""),0,IF(COUNTIFS($A$2:A370,A370,$F$2:F370,F370)=1,1,0))</f>
        <v>0</v>
      </c>
      <c r="N370" s="12" t="str">
        <f aca="false">IF(A370="","",IFERROR(INDEX(Events!$F$2:$F$67,MATCH(A370,Events!$A$2:$A$67,0)),""))</f>
        <v>CAN</v>
      </c>
      <c r="O370" s="12" t="n">
        <f aca="false">IF(AND(G370=1,K370="Yes",N370="POL"),IF(COUNTIFS($A$2:A370,A370,$D$2:D370,D370,$E$2:E370,E370,$G$2:G370,1)=1,1,0),0)</f>
        <v>0</v>
      </c>
      <c r="P370" s="12" t="n">
        <f aca="false">IF(AND(ISNUMBER(G370),K370="Yes",N370="POL"),IF(AND(G370&gt;=1,G370&lt;=3,COUNTIFS($A$2:A370,A370,$D$2:D370,D370,$E$2:E370,E370,$G$2:G370,G370)=1),1,0),0)</f>
        <v>0</v>
      </c>
    </row>
    <row r="371" customFormat="false" ht="15" hidden="false" customHeight="false" outlineLevel="0" collapsed="false">
      <c r="A371" s="12" t="s">
        <v>139</v>
      </c>
      <c r="B371" s="13" t="n">
        <v>46026</v>
      </c>
      <c r="C371" s="12" t="str">
        <f aca="false">IF(A371="","",IFERROR(INDEX(Events!$D$2:$D$67,MATCH(A371,Events!$A$2:$A$67,0)),"Unknown event ID"))</f>
        <v>4th Cyclocross im. Z. Hanusika</v>
      </c>
      <c r="D371" s="12" t="s">
        <v>437</v>
      </c>
      <c r="E371" s="12" t="s">
        <v>99</v>
      </c>
      <c r="F371" s="12" t="s">
        <v>103</v>
      </c>
      <c r="G371" s="12" t="n">
        <v>2</v>
      </c>
      <c r="H371" s="12" t="s">
        <v>366</v>
      </c>
      <c r="I371" s="12"/>
      <c r="J371" s="12" t="s">
        <v>480</v>
      </c>
      <c r="K371" s="12" t="str">
        <f aca="false">IF(A371="","",IFERROR(IF(INDEX(Events!$J$2:$J$67,MATCH(A371,Events!$A$2:$A$67,0))="Yes",IF(ISNUMBER(SEARCH("Criterium final",D371)),"No","Yes"),"No"),""))</f>
        <v>No</v>
      </c>
      <c r="L371" s="12"/>
      <c r="M371" s="12" t="n">
        <f aca="false">IF(OR(A371="",F371=""),0,IF(COUNTIFS($A$2:A371,A371,$F$2:F371,F371)=1,1,0))</f>
        <v>1</v>
      </c>
      <c r="N371" s="12" t="str">
        <f aca="false">IF(A371="","",IFERROR(INDEX(Events!$F$2:$F$67,MATCH(A371,Events!$A$2:$A$67,0)),""))</f>
        <v>POL</v>
      </c>
      <c r="O371" s="12" t="n">
        <f aca="false">IF(AND(G371=1,K371="Yes",N371="POL"),IF(COUNTIFS($A$2:A371,A371,$D$2:D371,D371,$E$2:E371,E371,$G$2:G371,1)=1,1,0),0)</f>
        <v>0</v>
      </c>
      <c r="P371" s="12" t="n">
        <f aca="false">IF(AND(ISNUMBER(G371),K371="Yes",N371="POL"),IF(AND(G371&gt;=1,G371&lt;=3,COUNTIFS($A$2:A371,A371,$D$2:D371,D371,$E$2:E371,E371,$G$2:G371,G371)=1),1,0),0)</f>
        <v>0</v>
      </c>
    </row>
    <row r="372" customFormat="false" ht="15" hidden="false" customHeight="false" outlineLevel="0" collapsed="false">
      <c r="A372" s="12" t="s">
        <v>146</v>
      </c>
      <c r="B372" s="13" t="n">
        <v>46033</v>
      </c>
      <c r="C372" s="12" t="str">
        <f aca="false">IF(A372="","",IFERROR(INDEX(Events!$D$2:$D$67,MATCH(A372,Events!$A$2:$A$67,0)),"Unknown event ID"))</f>
        <v>Przełajowe Mistrzostwa Polski (Polish CX Championships)</v>
      </c>
      <c r="D372" s="12" t="s">
        <v>437</v>
      </c>
      <c r="E372" s="12" t="s">
        <v>99</v>
      </c>
      <c r="F372" s="12" t="s">
        <v>103</v>
      </c>
      <c r="G372" s="12" t="n">
        <v>3</v>
      </c>
      <c r="H372" s="12" t="s">
        <v>366</v>
      </c>
      <c r="I372" s="12"/>
      <c r="J372" s="12" t="s">
        <v>439</v>
      </c>
      <c r="K372" s="12" t="str">
        <f aca="false">IF(A372="","",IFERROR(IF(INDEX(Events!$J$2:$J$67,MATCH(A372,Events!$A$2:$A$67,0))="Yes",IF(ISNUMBER(SEARCH("Criterium final",D372)),"No","Yes"),"No"),""))</f>
        <v>Yes</v>
      </c>
      <c r="L372" s="12"/>
      <c r="M372" s="12" t="n">
        <f aca="false">IF(OR(A372="",F372=""),0,IF(COUNTIFS($A$2:A372,A372,$F$2:F372,F372)=1,1,0))</f>
        <v>1</v>
      </c>
      <c r="N372" s="12" t="str">
        <f aca="false">IF(A372="","",IFERROR(INDEX(Events!$F$2:$F$67,MATCH(A372,Events!$A$2:$A$67,0)),""))</f>
        <v>POL</v>
      </c>
      <c r="O372" s="12" t="n">
        <f aca="false">IF(AND(G372=1,K372="Yes",N372="POL"),IF(COUNTIFS($A$2:A372,A372,$D$2:D372,D372,$E$2:E372,E372,$G$2:G372,1)=1,1,0),0)</f>
        <v>0</v>
      </c>
      <c r="P372" s="12" t="n">
        <f aca="false">IF(AND(ISNUMBER(G372),K372="Yes",N372="POL"),IF(AND(G372&gt;=1,G372&lt;=3,COUNTIFS($A$2:A372,A372,$D$2:D372,D372,$E$2:E372,E372,$G$2:G372,G372)=1),1,0),0)</f>
        <v>1</v>
      </c>
    </row>
    <row r="373" customFormat="false" ht="15" hidden="false" customHeight="false" outlineLevel="0" collapsed="false">
      <c r="A373" s="12" t="s">
        <v>146</v>
      </c>
      <c r="B373" s="13" t="n">
        <v>46032</v>
      </c>
      <c r="C373" s="12" t="str">
        <f aca="false">IF(A373="","",IFERROR(INDEX(Events!$D$2:$D$67,MATCH(A373,Events!$A$2:$A$67,0)),"Unknown event ID"))</f>
        <v>Przełajowe Mistrzostwa Polski (Polish CX Championships)</v>
      </c>
      <c r="D373" s="12" t="s">
        <v>440</v>
      </c>
      <c r="E373" s="12" t="s">
        <v>441</v>
      </c>
      <c r="F373" s="12" t="s">
        <v>103</v>
      </c>
      <c r="G373" s="12" t="n">
        <v>3</v>
      </c>
      <c r="H373" s="12" t="s">
        <v>366</v>
      </c>
      <c r="I373" s="12" t="s">
        <v>481</v>
      </c>
      <c r="J373" s="12" t="s">
        <v>439</v>
      </c>
      <c r="K373" s="12" t="str">
        <f aca="false">IF(A373="","",IFERROR(IF(INDEX(Events!$J$2:$J$67,MATCH(A373,Events!$A$2:$A$67,0))="Yes",IF(ISNUMBER(SEARCH("Criterium final",D373)),"No","Yes"),"No"),""))</f>
        <v>Yes</v>
      </c>
      <c r="L373" s="12"/>
      <c r="M373" s="12" t="n">
        <f aca="false">IF(OR(A373="",F373=""),0,IF(COUNTIFS($A$2:A373,A373,$F$2:F373,F373)=1,1,0))</f>
        <v>0</v>
      </c>
      <c r="N373" s="12" t="str">
        <f aca="false">IF(A373="","",IFERROR(INDEX(Events!$F$2:$F$67,MATCH(A373,Events!$A$2:$A$67,0)),""))</f>
        <v>POL</v>
      </c>
      <c r="O373" s="12" t="n">
        <f aca="false">IF(AND(G373=1,K373="Yes",N373="POL"),IF(COUNTIFS($A$2:A373,A373,$D$2:D373,D373,$E$2:E373,E373,$G$2:G373,1)=1,1,0),0)</f>
        <v>0</v>
      </c>
      <c r="P373" s="12" t="n">
        <f aca="false">IF(AND(ISNUMBER(G373),K373="Yes",N373="POL"),IF(AND(G373&gt;=1,G373&lt;=3,COUNTIFS($A$2:A373,A373,$D$2:D373,D373,$E$2:E373,E373,$G$2:G373,G373)=1),1,0),0)</f>
        <v>0</v>
      </c>
    </row>
    <row r="374" customFormat="false" ht="15" hidden="false" customHeight="false" outlineLevel="0" collapsed="false">
      <c r="A374" s="12" t="s">
        <v>164</v>
      </c>
      <c r="B374" s="13" t="n">
        <v>46074</v>
      </c>
      <c r="C374" s="12" t="str">
        <f aca="false">IF(A374="","",IFERROR(INDEX(Events!$D$2:$D$67,MATCH(A374,Events!$A$2:$A$67,0)),"Unknown event ID"))</f>
        <v>Polish Cup (track) – Puchar Polski</v>
      </c>
      <c r="D374" s="12" t="s">
        <v>371</v>
      </c>
      <c r="E374" s="12" t="s">
        <v>428</v>
      </c>
      <c r="F374" s="12" t="s">
        <v>103</v>
      </c>
      <c r="G374" s="12" t="n">
        <v>2</v>
      </c>
      <c r="H374" s="12" t="s">
        <v>366</v>
      </c>
      <c r="I374" s="12"/>
      <c r="J374" s="12" t="s">
        <v>482</v>
      </c>
      <c r="K374" s="12" t="str">
        <f aca="false">IF(A374="","",IFERROR(IF(INDEX(Events!$J$2:$J$67,MATCH(A374,Events!$A$2:$A$67,0))="Yes",IF(ISNUMBER(SEARCH("Criterium final",D374)),"No","Yes"),"No"),""))</f>
        <v>No</v>
      </c>
      <c r="L374" s="12"/>
      <c r="M374" s="12" t="n">
        <f aca="false">IF(OR(A374="",F374=""),0,IF(COUNTIFS($A$2:A374,A374,$F$2:F374,F374)=1,1,0))</f>
        <v>1</v>
      </c>
      <c r="N374" s="12" t="str">
        <f aca="false">IF(A374="","",IFERROR(INDEX(Events!$F$2:$F$67,MATCH(A374,Events!$A$2:$A$67,0)),""))</f>
        <v>POL</v>
      </c>
      <c r="O374" s="12" t="n">
        <f aca="false">IF(AND(G374=1,K374="Yes",N374="POL"),IF(COUNTIFS($A$2:A374,A374,$D$2:D374,D374,$E$2:E374,E374,$G$2:G374,1)=1,1,0),0)</f>
        <v>0</v>
      </c>
      <c r="P374" s="12" t="n">
        <f aca="false">IF(AND(ISNUMBER(G374),K374="Yes",N374="POL"),IF(AND(G374&gt;=1,G374&lt;=3,COUNTIFS($A$2:A374,A374,$D$2:D374,D374,$E$2:E374,E374,$G$2:G374,G374)=1),1,0),0)</f>
        <v>0</v>
      </c>
    </row>
    <row r="375" customFormat="false" ht="15" hidden="false" customHeight="false" outlineLevel="0" collapsed="false">
      <c r="A375" s="12" t="s">
        <v>164</v>
      </c>
      <c r="B375" s="13" t="n">
        <v>46075</v>
      </c>
      <c r="C375" s="12" t="str">
        <f aca="false">IF(A375="","",IFERROR(INDEX(Events!$D$2:$D$67,MATCH(A375,Events!$A$2:$A$67,0)),"Unknown event ID"))</f>
        <v>Polish Cup (track) – Puchar Polski</v>
      </c>
      <c r="D375" s="12" t="s">
        <v>370</v>
      </c>
      <c r="E375" s="12" t="s">
        <v>428</v>
      </c>
      <c r="F375" s="12" t="s">
        <v>103</v>
      </c>
      <c r="G375" s="12" t="n">
        <v>2</v>
      </c>
      <c r="H375" s="12" t="s">
        <v>366</v>
      </c>
      <c r="I375" s="12" t="s">
        <v>483</v>
      </c>
      <c r="J375" s="12" t="s">
        <v>472</v>
      </c>
      <c r="K375" s="12" t="str">
        <f aca="false">IF(A375="","",IFERROR(IF(INDEX(Events!$J$2:$J$67,MATCH(A375,Events!$A$2:$A$67,0))="Yes",IF(ISNUMBER(SEARCH("Criterium final",D375)),"No","Yes"),"No"),""))</f>
        <v>No</v>
      </c>
      <c r="L375" s="12"/>
      <c r="M375" s="12" t="n">
        <f aca="false">IF(OR(A375="",F375=""),0,IF(COUNTIFS($A$2:A375,A375,$F$2:F375,F375)=1,1,0))</f>
        <v>0</v>
      </c>
      <c r="N375" s="12" t="str">
        <f aca="false">IF(A375="","",IFERROR(INDEX(Events!$F$2:$F$67,MATCH(A375,Events!$A$2:$A$67,0)),""))</f>
        <v>POL</v>
      </c>
      <c r="O375" s="12" t="n">
        <f aca="false">IF(AND(G375=1,K375="Yes",N375="POL"),IF(COUNTIFS($A$2:A375,A375,$D$2:D375,D375,$E$2:E375,E375,$G$2:G375,1)=1,1,0),0)</f>
        <v>0</v>
      </c>
      <c r="P375" s="12" t="n">
        <f aca="false">IF(AND(ISNUMBER(G375),K375="Yes",N375="POL"),IF(AND(G375&gt;=1,G375&lt;=3,COUNTIFS($A$2:A375,A375,$D$2:D375,D375,$E$2:E375,E375,$G$2:G375,G375)=1),1,0),0)</f>
        <v>0</v>
      </c>
    </row>
    <row r="376" customFormat="false" ht="15" hidden="false" customHeight="false" outlineLevel="0" collapsed="false">
      <c r="A376" s="12" t="s">
        <v>306</v>
      </c>
      <c r="B376" s="13" t="n">
        <v>46096</v>
      </c>
      <c r="C376" s="12" t="str">
        <f aca="false">IF(A376="","",IFERROR(INDEX(Events!$D$2:$D$67,MATCH(A376,Events!$A$2:$A$67,0)),"Unknown event ID"))</f>
        <v>Piccolo Trofeo Alfredo Binda – Valli del Verbano (juniors)</v>
      </c>
      <c r="D376" s="12" t="s">
        <v>365</v>
      </c>
      <c r="E376" s="12" t="s">
        <v>99</v>
      </c>
      <c r="F376" s="12" t="s">
        <v>103</v>
      </c>
      <c r="G376" s="12" t="n">
        <v>48</v>
      </c>
      <c r="H376" s="12" t="s">
        <v>366</v>
      </c>
      <c r="I376" s="12"/>
      <c r="J376" s="12" t="s">
        <v>105</v>
      </c>
      <c r="K376" s="12" t="str">
        <f aca="false">IF(A376="","",IFERROR(IF(INDEX(Events!$J$2:$J$67,MATCH(A376,Events!$A$2:$A$67,0))="Yes",IF(ISNUMBER(SEARCH("Criterium final",D376)),"No","Yes"),"No"),""))</f>
        <v>No</v>
      </c>
      <c r="L376" s="12"/>
      <c r="M376" s="12" t="n">
        <f aca="false">IF(OR(A376="",F376=""),0,IF(COUNTIFS($A$2:A376,A376,$F$2:F376,F376)=1,1,0))</f>
        <v>1</v>
      </c>
      <c r="N376" s="12" t="str">
        <f aca="false">IF(A376="","",IFERROR(INDEX(Events!$F$2:$F$67,MATCH(A376,Events!$A$2:$A$67,0)),""))</f>
        <v>ITA</v>
      </c>
      <c r="O376" s="12" t="n">
        <f aca="false">IF(AND(G376=1,K376="Yes",N376="POL"),IF(COUNTIFS($A$2:A376,A376,$D$2:D376,D376,$E$2:E376,E376,$G$2:G376,1)=1,1,0),0)</f>
        <v>0</v>
      </c>
      <c r="P376" s="12" t="n">
        <f aca="false">IF(AND(ISNUMBER(G376),K376="Yes",N376="POL"),IF(AND(G376&gt;=1,G376&lt;=3,COUNTIFS($A$2:A376,A376,$D$2:D376,D376,$E$2:E376,E376,$G$2:G376,G376)=1),1,0),0)</f>
        <v>0</v>
      </c>
    </row>
    <row r="377" customFormat="false" ht="15" hidden="false" customHeight="false" outlineLevel="0" collapsed="false">
      <c r="A377" s="12" t="s">
        <v>191</v>
      </c>
      <c r="B377" s="13" t="n">
        <v>46124</v>
      </c>
      <c r="C377" s="12" t="str">
        <f aca="false">IF(A377="","",IFERROR(INDEX(Events!$D$2:$D$67,MATCH(A377,Events!$A$2:$A$67,0)),"Unknown event ID"))</f>
        <v>Ślężański Mnich</v>
      </c>
      <c r="D377" s="12" t="s">
        <v>367</v>
      </c>
      <c r="E377" s="12" t="s">
        <v>99</v>
      </c>
      <c r="F377" s="12" t="s">
        <v>103</v>
      </c>
      <c r="G377" s="12" t="n">
        <v>2</v>
      </c>
      <c r="H377" s="12" t="s">
        <v>366</v>
      </c>
      <c r="I377" s="12"/>
      <c r="J377" s="12" t="s">
        <v>368</v>
      </c>
      <c r="K377" s="12" t="str">
        <f aca="false">IF(A377="","",IFERROR(IF(INDEX(Events!$J$2:$J$67,MATCH(A377,Events!$A$2:$A$67,0))="Yes",IF(ISNUMBER(SEARCH("Criterium final",D377)),"No","Yes"),"No"),""))</f>
        <v>No</v>
      </c>
      <c r="L377" s="12"/>
      <c r="M377" s="12" t="n">
        <f aca="false">IF(OR(A377="",F377=""),0,IF(COUNTIFS($A$2:A377,A377,$F$2:F377,F377)=1,1,0))</f>
        <v>1</v>
      </c>
      <c r="N377" s="12" t="str">
        <f aca="false">IF(A377="","",IFERROR(INDEX(Events!$F$2:$F$67,MATCH(A377,Events!$A$2:$A$67,0)),""))</f>
        <v>POL</v>
      </c>
      <c r="O377" s="12" t="n">
        <f aca="false">IF(AND(G377=1,K377="Yes",N377="POL"),IF(COUNTIFS($A$2:A377,A377,$D$2:D377,D377,$E$2:E377,E377,$G$2:G377,1)=1,1,0),0)</f>
        <v>0</v>
      </c>
      <c r="P377" s="12" t="n">
        <f aca="false">IF(AND(ISNUMBER(G377),K377="Yes",N377="POL"),IF(AND(G377&gt;=1,G377&lt;=3,COUNTIFS($A$2:A377,A377,$D$2:D377,D377,$E$2:E377,E377,$G$2:G377,G377)=1),1,0),0)</f>
        <v>0</v>
      </c>
    </row>
    <row r="378" customFormat="false" ht="15" hidden="false" customHeight="false" outlineLevel="0" collapsed="false">
      <c r="A378" s="12" t="s">
        <v>199</v>
      </c>
      <c r="B378" s="13" t="n">
        <v>46136</v>
      </c>
      <c r="C378" s="12" t="str">
        <f aca="false">IF(A378="","",IFERROR(INDEX(Events!$D$2:$D$67,MATCH(A378,Events!$A$2:$A$67,0)),"Unknown event ID"))</f>
        <v>EPZ Omloop van Borsele</v>
      </c>
      <c r="D378" s="12" t="s">
        <v>377</v>
      </c>
      <c r="E378" s="12" t="s">
        <v>99</v>
      </c>
      <c r="F378" s="12" t="s">
        <v>103</v>
      </c>
      <c r="G378" s="12" t="n">
        <v>62</v>
      </c>
      <c r="H378" s="12" t="s">
        <v>366</v>
      </c>
      <c r="I378" s="12"/>
      <c r="J378" s="12" t="s">
        <v>105</v>
      </c>
      <c r="K378" s="12" t="str">
        <f aca="false">IF(A378="","",IFERROR(IF(INDEX(Events!$J$2:$J$67,MATCH(A378,Events!$A$2:$A$67,0))="Yes",IF(ISNUMBER(SEARCH("Criterium final",D378)),"No","Yes"),"No"),""))</f>
        <v>No</v>
      </c>
      <c r="L378" s="12"/>
      <c r="M378" s="12" t="n">
        <f aca="false">IF(OR(A378="",F378=""),0,IF(COUNTIFS($A$2:A378,A378,$F$2:F378,F378)=1,1,0))</f>
        <v>1</v>
      </c>
      <c r="N378" s="12" t="str">
        <f aca="false">IF(A378="","",IFERROR(INDEX(Events!$F$2:$F$67,MATCH(A378,Events!$A$2:$A$67,0)),""))</f>
        <v>NED</v>
      </c>
      <c r="O378" s="12" t="n">
        <f aca="false">IF(AND(G378=1,K378="Yes",N378="POL"),IF(COUNTIFS($A$2:A378,A378,$D$2:D378,D378,$E$2:E378,E378,$G$2:G378,1)=1,1,0),0)</f>
        <v>0</v>
      </c>
      <c r="P378" s="12" t="n">
        <f aca="false">IF(AND(ISNUMBER(G378),K378="Yes",N378="POL"),IF(AND(G378&gt;=1,G378&lt;=3,COUNTIFS($A$2:A378,A378,$D$2:D378,D378,$E$2:E378,E378,$G$2:G378,G378)=1),1,0),0)</f>
        <v>0</v>
      </c>
    </row>
    <row r="379" customFormat="false" ht="15" hidden="false" customHeight="false" outlineLevel="0" collapsed="false">
      <c r="A379" s="12" t="s">
        <v>199</v>
      </c>
      <c r="B379" s="13" t="n">
        <v>46137</v>
      </c>
      <c r="C379" s="12" t="str">
        <f aca="false">IF(A379="","",IFERROR(INDEX(Events!$D$2:$D$67,MATCH(A379,Events!$A$2:$A$67,0)),"Unknown event ID"))</f>
        <v>EPZ Omloop van Borsele</v>
      </c>
      <c r="D379" s="12" t="s">
        <v>373</v>
      </c>
      <c r="E379" s="12" t="s">
        <v>99</v>
      </c>
      <c r="F379" s="12" t="s">
        <v>103</v>
      </c>
      <c r="G379" s="12" t="n">
        <v>33</v>
      </c>
      <c r="H379" s="12" t="s">
        <v>366</v>
      </c>
      <c r="I379" s="12"/>
      <c r="J379" s="12" t="s">
        <v>105</v>
      </c>
      <c r="K379" s="12" t="str">
        <f aca="false">IF(A379="","",IFERROR(IF(INDEX(Events!$J$2:$J$67,MATCH(A379,Events!$A$2:$A$67,0))="Yes",IF(ISNUMBER(SEARCH("Criterium final",D379)),"No","Yes"),"No"),""))</f>
        <v>No</v>
      </c>
      <c r="L379" s="12"/>
      <c r="M379" s="12" t="n">
        <f aca="false">IF(OR(A379="",F379=""),0,IF(COUNTIFS($A$2:A379,A379,$F$2:F379,F379)=1,1,0))</f>
        <v>0</v>
      </c>
      <c r="N379" s="12" t="str">
        <f aca="false">IF(A379="","",IFERROR(INDEX(Events!$F$2:$F$67,MATCH(A379,Events!$A$2:$A$67,0)),""))</f>
        <v>NED</v>
      </c>
      <c r="O379" s="12" t="n">
        <f aca="false">IF(AND(G379=1,K379="Yes",N379="POL"),IF(COUNTIFS($A$2:A379,A379,$D$2:D379,D379,$E$2:E379,E379,$G$2:G379,1)=1,1,0),0)</f>
        <v>0</v>
      </c>
      <c r="P379" s="12" t="n">
        <f aca="false">IF(AND(ISNUMBER(G379),K379="Yes",N379="POL"),IF(AND(G379&gt;=1,G379&lt;=3,COUNTIFS($A$2:A379,A379,$D$2:D379,D379,$E$2:E379,E379,$G$2:G379,G379)=1),1,0),0)</f>
        <v>0</v>
      </c>
    </row>
    <row r="380" customFormat="false" ht="15" hidden="false" customHeight="false" outlineLevel="0" collapsed="false">
      <c r="A380" s="12" t="s">
        <v>199</v>
      </c>
      <c r="B380" s="13" t="n">
        <v>46138</v>
      </c>
      <c r="C380" s="12" t="str">
        <f aca="false">IF(A380="","",IFERROR(INDEX(Events!$D$2:$D$67,MATCH(A380,Events!$A$2:$A$67,0)),"Unknown event ID"))</f>
        <v>EPZ Omloop van Borsele</v>
      </c>
      <c r="D380" s="12" t="s">
        <v>374</v>
      </c>
      <c r="E380" s="12" t="s">
        <v>99</v>
      </c>
      <c r="F380" s="12" t="s">
        <v>103</v>
      </c>
      <c r="G380" s="12" t="n">
        <v>31</v>
      </c>
      <c r="H380" s="12" t="s">
        <v>366</v>
      </c>
      <c r="I380" s="12"/>
      <c r="J380" s="12" t="s">
        <v>105</v>
      </c>
      <c r="K380" s="12" t="str">
        <f aca="false">IF(A380="","",IFERROR(IF(INDEX(Events!$J$2:$J$67,MATCH(A380,Events!$A$2:$A$67,0))="Yes",IF(ISNUMBER(SEARCH("Criterium final",D380)),"No","Yes"),"No"),""))</f>
        <v>No</v>
      </c>
      <c r="L380" s="12"/>
      <c r="M380" s="12" t="n">
        <f aca="false">IF(OR(A380="",F380=""),0,IF(COUNTIFS($A$2:A380,A380,$F$2:F380,F380)=1,1,0))</f>
        <v>0</v>
      </c>
      <c r="N380" s="12" t="str">
        <f aca="false">IF(A380="","",IFERROR(INDEX(Events!$F$2:$F$67,MATCH(A380,Events!$A$2:$A$67,0)),""))</f>
        <v>NED</v>
      </c>
      <c r="O380" s="12" t="n">
        <f aca="false">IF(AND(G380=1,K380="Yes",N380="POL"),IF(COUNTIFS($A$2:A380,A380,$D$2:D380,D380,$E$2:E380,E380,$G$2:G380,1)=1,1,0),0)</f>
        <v>0</v>
      </c>
      <c r="P380" s="12" t="n">
        <f aca="false">IF(AND(ISNUMBER(G380),K380="Yes",N380="POL"),IF(AND(G380&gt;=1,G380&lt;=3,COUNTIFS($A$2:A380,A380,$D$2:D380,D380,$E$2:E380,E380,$G$2:G380,G380)=1),1,0),0)</f>
        <v>0</v>
      </c>
    </row>
    <row r="381" customFormat="false" ht="15" hidden="false" customHeight="false" outlineLevel="0" collapsed="false">
      <c r="A381" s="12" t="s">
        <v>199</v>
      </c>
      <c r="B381" s="13" t="n">
        <v>46138</v>
      </c>
      <c r="C381" s="12" t="str">
        <f aca="false">IF(A381="","",IFERROR(INDEX(Events!$D$2:$D$67,MATCH(A381,Events!$A$2:$A$67,0)),"Unknown event ID"))</f>
        <v>EPZ Omloop van Borsele</v>
      </c>
      <c r="D381" s="12" t="s">
        <v>376</v>
      </c>
      <c r="E381" s="12" t="s">
        <v>99</v>
      </c>
      <c r="F381" s="12" t="s">
        <v>103</v>
      </c>
      <c r="G381" s="12" t="n">
        <v>54</v>
      </c>
      <c r="H381" s="12" t="s">
        <v>366</v>
      </c>
      <c r="I381" s="12"/>
      <c r="J381" s="12" t="s">
        <v>105</v>
      </c>
      <c r="K381" s="12" t="str">
        <f aca="false">IF(A381="","",IFERROR(IF(INDEX(Events!$J$2:$J$67,MATCH(A381,Events!$A$2:$A$67,0))="Yes",IF(ISNUMBER(SEARCH("Criterium final",D381)),"No","Yes"),"No"),""))</f>
        <v>No</v>
      </c>
      <c r="L381" s="12"/>
      <c r="M381" s="12" t="n">
        <f aca="false">IF(OR(A381="",F381=""),0,IF(COUNTIFS($A$2:A381,A381,$F$2:F381,F381)=1,1,0))</f>
        <v>0</v>
      </c>
      <c r="N381" s="12" t="str">
        <f aca="false">IF(A381="","",IFERROR(INDEX(Events!$F$2:$F$67,MATCH(A381,Events!$A$2:$A$67,0)),""))</f>
        <v>NED</v>
      </c>
      <c r="O381" s="12" t="n">
        <f aca="false">IF(AND(G381=1,K381="Yes",N381="POL"),IF(COUNTIFS($A$2:A381,A381,$D$2:D381,D381,$E$2:E381,E381,$G$2:G381,1)=1,1,0),0)</f>
        <v>0</v>
      </c>
      <c r="P381" s="12" t="n">
        <f aca="false">IF(AND(ISNUMBER(G381),K381="Yes",N381="POL"),IF(AND(G381&gt;=1,G381&lt;=3,COUNTIFS($A$2:A381,A381,$D$2:D381,D381,$E$2:E381,E381,$G$2:G381,G381)=1),1,0),0)</f>
        <v>0</v>
      </c>
    </row>
    <row r="382" customFormat="false" ht="15" hidden="false" customHeight="false" outlineLevel="0" collapsed="false">
      <c r="A382" s="12" t="s">
        <v>214</v>
      </c>
      <c r="B382" s="13" t="n">
        <v>46151</v>
      </c>
      <c r="C382" s="12" t="str">
        <f aca="false">IF(A382="","",IFERROR(INDEX(Events!$D$2:$D$67,MATCH(A382,Events!$A$2:$A$67,0)),"Unknown event ID"))</f>
        <v>Polish Cup (road)</v>
      </c>
      <c r="D382" s="12" t="s">
        <v>387</v>
      </c>
      <c r="E382" s="12" t="s">
        <v>99</v>
      </c>
      <c r="F382" s="12" t="s">
        <v>103</v>
      </c>
      <c r="G382" s="12" t="n">
        <v>1</v>
      </c>
      <c r="H382" s="12" t="s">
        <v>366</v>
      </c>
      <c r="I382" s="12"/>
      <c r="J382" s="12" t="s">
        <v>484</v>
      </c>
      <c r="K382" s="12" t="str">
        <f aca="false">IF(A382="","",IFERROR(IF(INDEX(Events!$J$2:$J$67,MATCH(A382,Events!$A$2:$A$67,0))="Yes",IF(ISNUMBER(SEARCH("Criterium final",D382)),"No","Yes"),"No"),""))</f>
        <v>No</v>
      </c>
      <c r="L382" s="12"/>
      <c r="M382" s="12" t="n">
        <f aca="false">IF(OR(A382="",F382=""),0,IF(COUNTIFS($A$2:A382,A382,$F$2:F382,F382)=1,1,0))</f>
        <v>1</v>
      </c>
      <c r="N382" s="12" t="str">
        <f aca="false">IF(A382="","",IFERROR(INDEX(Events!$F$2:$F$67,MATCH(A382,Events!$A$2:$A$67,0)),""))</f>
        <v>POL</v>
      </c>
      <c r="O382" s="12" t="n">
        <f aca="false">IF(AND(G382=1,K382="Yes",N382="POL"),IF(COUNTIFS($A$2:A382,A382,$D$2:D382,D382,$E$2:E382,E382,$G$2:G382,1)=1,1,0),0)</f>
        <v>0</v>
      </c>
      <c r="P382" s="12" t="n">
        <f aca="false">IF(AND(ISNUMBER(G382),K382="Yes",N382="POL"),IF(AND(G382&gt;=1,G382&lt;=3,COUNTIFS($A$2:A382,A382,$D$2:D382,D382,$E$2:E382,E382,$G$2:G382,G382)=1),1,0),0)</f>
        <v>0</v>
      </c>
    </row>
    <row r="383" customFormat="false" ht="15" hidden="false" customHeight="false" outlineLevel="0" collapsed="false">
      <c r="A383" s="12" t="s">
        <v>214</v>
      </c>
      <c r="B383" s="13" t="n">
        <v>46152</v>
      </c>
      <c r="C383" s="12" t="str">
        <f aca="false">IF(A383="","",IFERROR(INDEX(Events!$D$2:$D$67,MATCH(A383,Events!$A$2:$A$67,0)),"Unknown event ID"))</f>
        <v>Polish Cup (road)</v>
      </c>
      <c r="D383" s="12" t="s">
        <v>367</v>
      </c>
      <c r="E383" s="12" t="s">
        <v>99</v>
      </c>
      <c r="F383" s="12" t="s">
        <v>103</v>
      </c>
      <c r="G383" s="12" t="n">
        <v>3</v>
      </c>
      <c r="H383" s="12" t="s">
        <v>366</v>
      </c>
      <c r="I383" s="12"/>
      <c r="J383" s="12" t="s">
        <v>484</v>
      </c>
      <c r="K383" s="12" t="str">
        <f aca="false">IF(A383="","",IFERROR(IF(INDEX(Events!$J$2:$J$67,MATCH(A383,Events!$A$2:$A$67,0))="Yes",IF(ISNUMBER(SEARCH("Criterium final",D383)),"No","Yes"),"No"),""))</f>
        <v>No</v>
      </c>
      <c r="L383" s="12"/>
      <c r="M383" s="12" t="n">
        <f aca="false">IF(OR(A383="",F383=""),0,IF(COUNTIFS($A$2:A383,A383,$F$2:F383,F383)=1,1,0))</f>
        <v>0</v>
      </c>
      <c r="N383" s="12" t="str">
        <f aca="false">IF(A383="","",IFERROR(INDEX(Events!$F$2:$F$67,MATCH(A383,Events!$A$2:$A$67,0)),""))</f>
        <v>POL</v>
      </c>
      <c r="O383" s="12" t="n">
        <f aca="false">IF(AND(G383=1,K383="Yes",N383="POL"),IF(COUNTIFS($A$2:A383,A383,$D$2:D383,D383,$E$2:E383,E383,$G$2:G383,1)=1,1,0),0)</f>
        <v>0</v>
      </c>
      <c r="P383" s="12" t="n">
        <f aca="false">IF(AND(ISNUMBER(G383),K383="Yes",N383="POL"),IF(AND(G383&gt;=1,G383&lt;=3,COUNTIFS($A$2:A383,A383,$D$2:D383,D383,$E$2:E383,E383,$G$2:G383,G383)=1),1,0),0)</f>
        <v>0</v>
      </c>
    </row>
    <row r="384" customFormat="false" ht="15" hidden="false" customHeight="false" outlineLevel="0" collapsed="false">
      <c r="A384" s="12" t="s">
        <v>237</v>
      </c>
      <c r="B384" s="13" t="n">
        <v>46186</v>
      </c>
      <c r="C384" s="12" t="str">
        <f aca="false">IF(A384="","",IFERROR(INDEX(Events!$D$2:$D$67,MATCH(A384,Events!$A$2:$A$67,0)),"Unknown event ID"))</f>
        <v>Polish Cup (road)</v>
      </c>
      <c r="D384" s="12" t="s">
        <v>387</v>
      </c>
      <c r="E384" s="12" t="s">
        <v>99</v>
      </c>
      <c r="F384" s="12" t="s">
        <v>103</v>
      </c>
      <c r="G384" s="12" t="n">
        <v>1</v>
      </c>
      <c r="H384" s="12" t="s">
        <v>366</v>
      </c>
      <c r="I384" s="12"/>
      <c r="J384" s="12" t="s">
        <v>443</v>
      </c>
      <c r="K384" s="12" t="str">
        <f aca="false">IF(A384="","",IFERROR(IF(INDEX(Events!$J$2:$J$67,MATCH(A384,Events!$A$2:$A$67,0))="Yes",IF(ISNUMBER(SEARCH("Criterium final",D384)),"No","Yes"),"No"),""))</f>
        <v>No</v>
      </c>
      <c r="L384" s="12"/>
      <c r="M384" s="12" t="n">
        <f aca="false">IF(OR(A384="",F384=""),0,IF(COUNTIFS($A$2:A384,A384,$F$2:F384,F384)=1,1,0))</f>
        <v>1</v>
      </c>
      <c r="N384" s="12" t="str">
        <f aca="false">IF(A384="","",IFERROR(INDEX(Events!$F$2:$F$67,MATCH(A384,Events!$A$2:$A$67,0)),""))</f>
        <v>POL</v>
      </c>
      <c r="O384" s="12" t="n">
        <f aca="false">IF(AND(G384=1,K384="Yes",N384="POL"),IF(COUNTIFS($A$2:A384,A384,$D$2:D384,D384,$E$2:E384,E384,$G$2:G384,1)=1,1,0),0)</f>
        <v>0</v>
      </c>
      <c r="P384" s="12" t="n">
        <f aca="false">IF(AND(ISNUMBER(G384),K384="Yes",N384="POL"),IF(AND(G384&gt;=1,G384&lt;=3,COUNTIFS($A$2:A384,A384,$D$2:D384,D384,$E$2:E384,E384,$G$2:G384,G384)=1),1,0),0)</f>
        <v>0</v>
      </c>
    </row>
    <row r="385" customFormat="false" ht="15" hidden="false" customHeight="false" outlineLevel="0" collapsed="false">
      <c r="A385" s="12" t="s">
        <v>246</v>
      </c>
      <c r="B385" s="13" t="n">
        <v>46198</v>
      </c>
      <c r="C385" s="12" t="str">
        <f aca="false">IF(A385="","",IFERROR(INDEX(Events!$D$2:$D$67,MATCH(A385,Events!$A$2:$A$67,0)),"Unknown event ID"))</f>
        <v>Polish Road Championships (ITT + road race)</v>
      </c>
      <c r="D385" s="12" t="s">
        <v>387</v>
      </c>
      <c r="E385" s="12" t="s">
        <v>100</v>
      </c>
      <c r="F385" s="12" t="s">
        <v>103</v>
      </c>
      <c r="G385" s="12" t="n">
        <v>2</v>
      </c>
      <c r="H385" s="12" t="s">
        <v>366</v>
      </c>
      <c r="I385" s="12"/>
      <c r="J385" s="12" t="s">
        <v>105</v>
      </c>
      <c r="K385" s="12" t="str">
        <f aca="false">IF(A385="","",IFERROR(IF(INDEX(Events!$J$2:$J$67,MATCH(A385,Events!$A$2:$A$67,0))="Yes",IF(ISNUMBER(SEARCH("Criterium final",D385)),"No","Yes"),"No"),""))</f>
        <v>Yes</v>
      </c>
      <c r="L385" s="12"/>
      <c r="M385" s="12" t="n">
        <f aca="false">IF(OR(A385="",F385=""),0,IF(COUNTIFS($A$2:A385,A385,$F$2:F385,F385)=1,1,0))</f>
        <v>1</v>
      </c>
      <c r="N385" s="12" t="str">
        <f aca="false">IF(A385="","",IFERROR(INDEX(Events!$F$2:$F$67,MATCH(A385,Events!$A$2:$A$67,0)),""))</f>
        <v>POL</v>
      </c>
      <c r="O385" s="12" t="n">
        <f aca="false">IF(AND(G385=1,K385="Yes",N385="POL"),IF(COUNTIFS($A$2:A385,A385,$D$2:D385,D385,$E$2:E385,E385,$G$2:G385,1)=1,1,0),0)</f>
        <v>0</v>
      </c>
      <c r="P385" s="12" t="n">
        <f aca="false">IF(AND(ISNUMBER(G385),K385="Yes",N385="POL"),IF(AND(G385&gt;=1,G385&lt;=3,COUNTIFS($A$2:A385,A385,$D$2:D385,D385,$E$2:E385,E385,$G$2:G385,G385)=1),1,0),0)</f>
        <v>1</v>
      </c>
    </row>
    <row r="386" customFormat="false" ht="15" hidden="false" customHeight="false" outlineLevel="0" collapsed="false">
      <c r="A386" s="12" t="s">
        <v>246</v>
      </c>
      <c r="B386" s="13" t="n">
        <v>46201</v>
      </c>
      <c r="C386" s="12" t="str">
        <f aca="false">IF(A386="","",IFERROR(INDEX(Events!$D$2:$D$67,MATCH(A386,Events!$A$2:$A$67,0)),"Unknown event ID"))</f>
        <v>Polish Road Championships (ITT + road race)</v>
      </c>
      <c r="D386" s="12" t="s">
        <v>367</v>
      </c>
      <c r="E386" s="12" t="s">
        <v>100</v>
      </c>
      <c r="F386" s="12" t="s">
        <v>103</v>
      </c>
      <c r="G386" s="12" t="n">
        <v>5</v>
      </c>
      <c r="H386" s="12" t="s">
        <v>366</v>
      </c>
      <c r="I386" s="12"/>
      <c r="J386" s="12" t="s">
        <v>105</v>
      </c>
      <c r="K386" s="12" t="str">
        <f aca="false">IF(A386="","",IFERROR(IF(INDEX(Events!$J$2:$J$67,MATCH(A386,Events!$A$2:$A$67,0))="Yes",IF(ISNUMBER(SEARCH("Criterium final",D386)),"No","Yes"),"No"),""))</f>
        <v>Yes</v>
      </c>
      <c r="L386" s="12"/>
      <c r="M386" s="12" t="n">
        <f aca="false">IF(OR(A386="",F386=""),0,IF(COUNTIFS($A$2:A386,A386,$F$2:F386,F386)=1,1,0))</f>
        <v>0</v>
      </c>
      <c r="N386" s="12" t="str">
        <f aca="false">IF(A386="","",IFERROR(INDEX(Events!$F$2:$F$67,MATCH(A386,Events!$A$2:$A$67,0)),""))</f>
        <v>POL</v>
      </c>
      <c r="O386" s="12" t="n">
        <f aca="false">IF(AND(G386=1,K386="Yes",N386="POL"),IF(COUNTIFS($A$2:A386,A386,$D$2:D386,D386,$E$2:E386,E386,$G$2:G386,1)=1,1,0),0)</f>
        <v>0</v>
      </c>
      <c r="P386" s="12" t="n">
        <f aca="false">IF(AND(ISNUMBER(G386),K386="Yes",N386="POL"),IF(AND(G386&gt;=1,G386&lt;=3,COUNTIFS($A$2:A386,A386,$D$2:D386,D386,$E$2:E386,E386,$G$2:G386,G386)=1),1,0),0)</f>
        <v>0</v>
      </c>
    </row>
    <row r="387" customFormat="false" ht="15" hidden="false" customHeight="false" outlineLevel="0" collapsed="false">
      <c r="A387" s="12" t="s">
        <v>259</v>
      </c>
      <c r="B387" s="13" t="n">
        <v>46227</v>
      </c>
      <c r="C387" s="12" t="str">
        <f aca="false">IF(A387="","",IFERROR(INDEX(Events!$D$2:$D$67,MATCH(A387,Events!$A$2:$A$67,0)),"Unknown event ID"))</f>
        <v>Watersley Ladies Challenge</v>
      </c>
      <c r="D387" s="12" t="s">
        <v>377</v>
      </c>
      <c r="E387" s="12" t="s">
        <v>99</v>
      </c>
      <c r="F387" s="12" t="s">
        <v>103</v>
      </c>
      <c r="G387" s="12" t="n">
        <v>33</v>
      </c>
      <c r="H387" s="12" t="s">
        <v>366</v>
      </c>
      <c r="I387" s="12"/>
      <c r="J387" s="12" t="s">
        <v>105</v>
      </c>
      <c r="K387" s="12" t="str">
        <f aca="false">IF(A387="","",IFERROR(IF(INDEX(Events!$J$2:$J$67,MATCH(A387,Events!$A$2:$A$67,0))="Yes",IF(ISNUMBER(SEARCH("Criterium final",D387)),"No","Yes"),"No"),""))</f>
        <v>No</v>
      </c>
      <c r="L387" s="12"/>
      <c r="M387" s="12" t="n">
        <f aca="false">IF(OR(A387="",F387=""),0,IF(COUNTIFS($A$2:A387,A387,$F$2:F387,F387)=1,1,0))</f>
        <v>1</v>
      </c>
      <c r="N387" s="12" t="str">
        <f aca="false">IF(A387="","",IFERROR(INDEX(Events!$F$2:$F$67,MATCH(A387,Events!$A$2:$A$67,0)),""))</f>
        <v>NED</v>
      </c>
      <c r="O387" s="12" t="n">
        <f aca="false">IF(AND(G387=1,K387="Yes",N387="POL"),IF(COUNTIFS($A$2:A387,A387,$D$2:D387,D387,$E$2:E387,E387,$G$2:G387,1)=1,1,0),0)</f>
        <v>0</v>
      </c>
      <c r="P387" s="12" t="n">
        <f aca="false">IF(AND(ISNUMBER(G387),K387="Yes",N387="POL"),IF(AND(G387&gt;=1,G387&lt;=3,COUNTIFS($A$2:A387,A387,$D$2:D387,D387,$E$2:E387,E387,$G$2:G387,G387)=1),1,0),0)</f>
        <v>0</v>
      </c>
    </row>
    <row r="388" customFormat="false" ht="15" hidden="false" customHeight="false" outlineLevel="0" collapsed="false">
      <c r="A388" s="12" t="s">
        <v>259</v>
      </c>
      <c r="B388" s="13" t="n">
        <v>46228</v>
      </c>
      <c r="C388" s="12" t="str">
        <f aca="false">IF(A388="","",IFERROR(INDEX(Events!$D$2:$D$67,MATCH(A388,Events!$A$2:$A$67,0)),"Unknown event ID"))</f>
        <v>Watersley Ladies Challenge</v>
      </c>
      <c r="D388" s="12" t="s">
        <v>373</v>
      </c>
      <c r="E388" s="12" t="s">
        <v>99</v>
      </c>
      <c r="F388" s="12" t="s">
        <v>103</v>
      </c>
      <c r="G388" s="12" t="n">
        <v>45</v>
      </c>
      <c r="H388" s="12" t="s">
        <v>366</v>
      </c>
      <c r="I388" s="12"/>
      <c r="J388" s="12" t="s">
        <v>105</v>
      </c>
      <c r="K388" s="12" t="str">
        <f aca="false">IF(A388="","",IFERROR(IF(INDEX(Events!$J$2:$J$67,MATCH(A388,Events!$A$2:$A$67,0))="Yes",IF(ISNUMBER(SEARCH("Criterium final",D388)),"No","Yes"),"No"),""))</f>
        <v>No</v>
      </c>
      <c r="L388" s="12"/>
      <c r="M388" s="12" t="n">
        <f aca="false">IF(OR(A388="",F388=""),0,IF(COUNTIFS($A$2:A388,A388,$F$2:F388,F388)=1,1,0))</f>
        <v>0</v>
      </c>
      <c r="N388" s="12" t="str">
        <f aca="false">IF(A388="","",IFERROR(INDEX(Events!$F$2:$F$67,MATCH(A388,Events!$A$2:$A$67,0)),""))</f>
        <v>NED</v>
      </c>
      <c r="O388" s="12" t="n">
        <f aca="false">IF(AND(G388=1,K388="Yes",N388="POL"),IF(COUNTIFS($A$2:A388,A388,$D$2:D388,D388,$E$2:E388,E388,$G$2:G388,1)=1,1,0),0)</f>
        <v>0</v>
      </c>
      <c r="P388" s="12" t="n">
        <f aca="false">IF(AND(ISNUMBER(G388),K388="Yes",N388="POL"),IF(AND(G388&gt;=1,G388&lt;=3,COUNTIFS($A$2:A388,A388,$D$2:D388,D388,$E$2:E388,E388,$G$2:G388,G388)=1),1,0),0)</f>
        <v>0</v>
      </c>
    </row>
    <row r="389" customFormat="false" ht="15" hidden="false" customHeight="false" outlineLevel="0" collapsed="false">
      <c r="A389" s="12" t="s">
        <v>259</v>
      </c>
      <c r="B389" s="13" t="n">
        <v>46229</v>
      </c>
      <c r="C389" s="12" t="str">
        <f aca="false">IF(A389="","",IFERROR(INDEX(Events!$D$2:$D$67,MATCH(A389,Events!$A$2:$A$67,0)),"Unknown event ID"))</f>
        <v>Watersley Ladies Challenge</v>
      </c>
      <c r="D389" s="12" t="s">
        <v>374</v>
      </c>
      <c r="E389" s="12" t="s">
        <v>99</v>
      </c>
      <c r="F389" s="12" t="s">
        <v>103</v>
      </c>
      <c r="G389" s="12" t="n">
        <v>43</v>
      </c>
      <c r="H389" s="12" t="s">
        <v>366</v>
      </c>
      <c r="I389" s="12"/>
      <c r="J389" s="12" t="s">
        <v>105</v>
      </c>
      <c r="K389" s="12" t="str">
        <f aca="false">IF(A389="","",IFERROR(IF(INDEX(Events!$J$2:$J$67,MATCH(A389,Events!$A$2:$A$67,0))="Yes",IF(ISNUMBER(SEARCH("Criterium final",D389)),"No","Yes"),"No"),""))</f>
        <v>No</v>
      </c>
      <c r="L389" s="12"/>
      <c r="M389" s="12" t="n">
        <f aca="false">IF(OR(A389="",F389=""),0,IF(COUNTIFS($A$2:A389,A389,$F$2:F389,F389)=1,1,0))</f>
        <v>0</v>
      </c>
      <c r="N389" s="12" t="str">
        <f aca="false">IF(A389="","",IFERROR(INDEX(Events!$F$2:$F$67,MATCH(A389,Events!$A$2:$A$67,0)),""))</f>
        <v>NED</v>
      </c>
      <c r="O389" s="12" t="n">
        <f aca="false">IF(AND(G389=1,K389="Yes",N389="POL"),IF(COUNTIFS($A$2:A389,A389,$D$2:D389,D389,$E$2:E389,E389,$G$2:G389,1)=1,1,0),0)</f>
        <v>0</v>
      </c>
      <c r="P389" s="12" t="n">
        <f aca="false">IF(AND(ISNUMBER(G389),K389="Yes",N389="POL"),IF(AND(G389&gt;=1,G389&lt;=3,COUNTIFS($A$2:A389,A389,$D$2:D389,D389,$E$2:E389,E389,$G$2:G389,G389)=1),1,0),0)</f>
        <v>0</v>
      </c>
    </row>
    <row r="390" customFormat="false" ht="15" hidden="false" customHeight="false" outlineLevel="0" collapsed="false">
      <c r="A390" s="12" t="s">
        <v>259</v>
      </c>
      <c r="B390" s="13" t="n">
        <v>46229</v>
      </c>
      <c r="C390" s="12" t="str">
        <f aca="false">IF(A390="","",IFERROR(INDEX(Events!$D$2:$D$67,MATCH(A390,Events!$A$2:$A$67,0)),"Unknown event ID"))</f>
        <v>Watersley Ladies Challenge</v>
      </c>
      <c r="D390" s="12" t="s">
        <v>376</v>
      </c>
      <c r="E390" s="12" t="s">
        <v>99</v>
      </c>
      <c r="F390" s="12" t="s">
        <v>103</v>
      </c>
      <c r="G390" s="12" t="n">
        <v>37</v>
      </c>
      <c r="H390" s="12" t="s">
        <v>366</v>
      </c>
      <c r="I390" s="12"/>
      <c r="J390" s="12" t="s">
        <v>105</v>
      </c>
      <c r="K390" s="12" t="str">
        <f aca="false">IF(A390="","",IFERROR(IF(INDEX(Events!$J$2:$J$67,MATCH(A390,Events!$A$2:$A$67,0))="Yes",IF(ISNUMBER(SEARCH("Criterium final",D390)),"No","Yes"),"No"),""))</f>
        <v>No</v>
      </c>
      <c r="L390" s="12"/>
      <c r="M390" s="12" t="n">
        <f aca="false">IF(OR(A390="",F390=""),0,IF(COUNTIFS($A$2:A390,A390,$F$2:F390,F390)=1,1,0))</f>
        <v>0</v>
      </c>
      <c r="N390" s="12" t="str">
        <f aca="false">IF(A390="","",IFERROR(INDEX(Events!$F$2:$F$67,MATCH(A390,Events!$A$2:$A$67,0)),""))</f>
        <v>NED</v>
      </c>
      <c r="O390" s="12" t="n">
        <f aca="false">IF(AND(G390=1,K390="Yes",N390="POL"),IF(COUNTIFS($A$2:A390,A390,$D$2:D390,D390,$E$2:E390,E390,$G$2:G390,1)=1,1,0),0)</f>
        <v>0</v>
      </c>
      <c r="P390" s="12" t="n">
        <f aca="false">IF(AND(ISNUMBER(G390),K390="Yes",N390="POL"),IF(AND(G390&gt;=1,G390&lt;=3,COUNTIFS($A$2:A390,A390,$D$2:D390,D390,$E$2:E390,E390,$G$2:G390,G390)=1),1,0),0)</f>
        <v>0</v>
      </c>
    </row>
    <row r="391" customFormat="false" ht="15" hidden="false" customHeight="false" outlineLevel="0" collapsed="false">
      <c r="A391" s="12" t="s">
        <v>262</v>
      </c>
      <c r="B391" s="13" t="n">
        <v>46242</v>
      </c>
      <c r="C391" s="12" t="str">
        <f aca="false">IF(A391="","",IFERROR(INDEX(Events!$D$2:$D$67,MATCH(A391,Events!$A$2:$A$67,0)),"Unknown event ID"))</f>
        <v>Criterium Grudziądz (Puchar Prezydenta Grudziądza)</v>
      </c>
      <c r="D391" s="12" t="s">
        <v>433</v>
      </c>
      <c r="E391" s="12" t="s">
        <v>99</v>
      </c>
      <c r="F391" s="12" t="s">
        <v>103</v>
      </c>
      <c r="G391" s="12" t="n">
        <v>2</v>
      </c>
      <c r="H391" s="12" t="s">
        <v>366</v>
      </c>
      <c r="I391" s="12"/>
      <c r="J391" s="12" t="s">
        <v>444</v>
      </c>
      <c r="K391" s="12" t="str">
        <f aca="false">IF(A391="","",IFERROR(IF(INDEX(Events!$J$2:$J$67,MATCH(A391,Events!$A$2:$A$67,0))="Yes",IF(ISNUMBER(SEARCH("Criterium final",D391)),"No","Yes"),"No"),""))</f>
        <v>No</v>
      </c>
      <c r="L391" s="12"/>
      <c r="M391" s="12" t="n">
        <f aca="false">IF(OR(A391="",F391=""),0,IF(COUNTIFS($A$2:A391,A391,$F$2:F391,F391)=1,1,0))</f>
        <v>1</v>
      </c>
      <c r="N391" s="12" t="str">
        <f aca="false">IF(A391="","",IFERROR(INDEX(Events!$F$2:$F$67,MATCH(A391,Events!$A$2:$A$67,0)),""))</f>
        <v>POL</v>
      </c>
      <c r="O391" s="12" t="n">
        <f aca="false">IF(AND(G391=1,K391="Yes",N391="POL"),IF(COUNTIFS($A$2:A391,A391,$D$2:D391,D391,$E$2:E391,E391,$G$2:G391,1)=1,1,0),0)</f>
        <v>0</v>
      </c>
      <c r="P391" s="12" t="n">
        <f aca="false">IF(AND(ISNUMBER(G391),K391="Yes",N391="POL"),IF(AND(G391&gt;=1,G391&lt;=3,COUNTIFS($A$2:A391,A391,$D$2:D391,D391,$E$2:E391,E391,$G$2:G391,G391)=1),1,0),0)</f>
        <v>0</v>
      </c>
    </row>
    <row r="392" customFormat="false" ht="15" hidden="false" customHeight="false" outlineLevel="0" collapsed="false">
      <c r="A392" s="12" t="s">
        <v>266</v>
      </c>
      <c r="B392" s="13" t="n">
        <v>46243</v>
      </c>
      <c r="C392" s="12" t="str">
        <f aca="false">IF(A392="","",IFERROR(INDEX(Events!$D$2:$D$67,MATCH(A392,Events!$A$2:$A$67,0)),"Unknown event ID"))</f>
        <v>Kryterium Uliczne – Nagroda Gruczna</v>
      </c>
      <c r="D392" s="12" t="s">
        <v>433</v>
      </c>
      <c r="E392" s="12" t="s">
        <v>99</v>
      </c>
      <c r="F392" s="12" t="s">
        <v>103</v>
      </c>
      <c r="G392" s="12" t="n">
        <v>2</v>
      </c>
      <c r="H392" s="12" t="s">
        <v>366</v>
      </c>
      <c r="I392" s="12"/>
      <c r="J392" s="12" t="s">
        <v>445</v>
      </c>
      <c r="K392" s="12" t="str">
        <f aca="false">IF(A392="","",IFERROR(IF(INDEX(Events!$J$2:$J$67,MATCH(A392,Events!$A$2:$A$67,0))="Yes",IF(ISNUMBER(SEARCH("Criterium final",D392)),"No","Yes"),"No"),""))</f>
        <v>No</v>
      </c>
      <c r="L392" s="12"/>
      <c r="M392" s="12" t="n">
        <f aca="false">IF(OR(A392="",F392=""),0,IF(COUNTIFS($A$2:A392,A392,$F$2:F392,F392)=1,1,0))</f>
        <v>1</v>
      </c>
      <c r="N392" s="12" t="str">
        <f aca="false">IF(A392="","",IFERROR(INDEX(Events!$F$2:$F$67,MATCH(A392,Events!$A$2:$A$67,0)),""))</f>
        <v>POL</v>
      </c>
      <c r="O392" s="12" t="n">
        <f aca="false">IF(AND(G392=1,K392="Yes",N392="POL"),IF(COUNTIFS($A$2:A392,A392,$D$2:D392,D392,$E$2:E392,E392,$G$2:G392,1)=1,1,0),0)</f>
        <v>0</v>
      </c>
      <c r="P392" s="12" t="n">
        <f aca="false">IF(AND(ISNUMBER(G392),K392="Yes",N392="POL"),IF(AND(G392&gt;=1,G392&lt;=3,COUNTIFS($A$2:A392,A392,$D$2:D392,D392,$E$2:E392,E392,$G$2:G392,G392)=1),1,0),0)</f>
        <v>0</v>
      </c>
    </row>
    <row r="393" customFormat="false" ht="15" hidden="false" customHeight="false" outlineLevel="0" collapsed="false">
      <c r="A393" s="12" t="s">
        <v>273</v>
      </c>
      <c r="B393" s="13" t="n">
        <v>46249</v>
      </c>
      <c r="C393" s="12" t="str">
        <f aca="false">IF(A393="","",IFERROR(INDEX(Events!$D$2:$D$67,MATCH(A393,Events!$A$2:$A$67,0)),"Unknown event ID"))</f>
        <v>Sowiogórski Tour</v>
      </c>
      <c r="D393" s="12" t="s">
        <v>419</v>
      </c>
      <c r="E393" s="12" t="s">
        <v>99</v>
      </c>
      <c r="F393" s="12" t="s">
        <v>103</v>
      </c>
      <c r="G393" s="12" t="n">
        <v>2</v>
      </c>
      <c r="H393" s="12" t="s">
        <v>366</v>
      </c>
      <c r="I393" s="12"/>
      <c r="J393" s="12" t="s">
        <v>420</v>
      </c>
      <c r="K393" s="12" t="str">
        <f aca="false">IF(A393="","",IFERROR(IF(INDEX(Events!$J$2:$J$67,MATCH(A393,Events!$A$2:$A$67,0))="Yes",IF(ISNUMBER(SEARCH("Criterium final",D393)),"No","Yes"),"No"),""))</f>
        <v>No</v>
      </c>
      <c r="L393" s="12"/>
      <c r="M393" s="12" t="n">
        <f aca="false">IF(OR(A393="",F393=""),0,IF(COUNTIFS($A$2:A393,A393,$F$2:F393,F393)=1,1,0))</f>
        <v>1</v>
      </c>
      <c r="N393" s="12" t="str">
        <f aca="false">IF(A393="","",IFERROR(INDEX(Events!$F$2:$F$67,MATCH(A393,Events!$A$2:$A$67,0)),""))</f>
        <v>POL</v>
      </c>
      <c r="O393" s="12" t="n">
        <f aca="false">IF(AND(G393=1,K393="Yes",N393="POL"),IF(COUNTIFS($A$2:A393,A393,$D$2:D393,D393,$E$2:E393,E393,$G$2:G393,1)=1,1,0),0)</f>
        <v>0</v>
      </c>
      <c r="P393" s="12" t="n">
        <f aca="false">IF(AND(ISNUMBER(G393),K393="Yes",N393="POL"),IF(AND(G393&gt;=1,G393&lt;=3,COUNTIFS($A$2:A393,A393,$D$2:D393,D393,$E$2:E393,E393,$G$2:G393,G393)=1),1,0),0)</f>
        <v>0</v>
      </c>
    </row>
    <row r="394" customFormat="false" ht="15" hidden="false" customHeight="false" outlineLevel="0" collapsed="false">
      <c r="A394" s="12" t="s">
        <v>273</v>
      </c>
      <c r="B394" s="13" t="n">
        <v>46250</v>
      </c>
      <c r="C394" s="12" t="str">
        <f aca="false">IF(A394="","",IFERROR(INDEX(Events!$D$2:$D$67,MATCH(A394,Events!$A$2:$A$67,0)),"Unknown event ID"))</f>
        <v>Sowiogórski Tour</v>
      </c>
      <c r="D394" s="12" t="s">
        <v>375</v>
      </c>
      <c r="E394" s="12" t="s">
        <v>99</v>
      </c>
      <c r="F394" s="12" t="s">
        <v>103</v>
      </c>
      <c r="G394" s="12" t="n">
        <v>2</v>
      </c>
      <c r="H394" s="12" t="s">
        <v>366</v>
      </c>
      <c r="I394" s="12"/>
      <c r="J394" s="12" t="s">
        <v>421</v>
      </c>
      <c r="K394" s="12" t="str">
        <f aca="false">IF(A394="","",IFERROR(IF(INDEX(Events!$J$2:$J$67,MATCH(A394,Events!$A$2:$A$67,0))="Yes",IF(ISNUMBER(SEARCH("Criterium final",D394)),"No","Yes"),"No"),""))</f>
        <v>No</v>
      </c>
      <c r="L394" s="12"/>
      <c r="M394" s="12" t="n">
        <f aca="false">IF(OR(A394="",F394=""),0,IF(COUNTIFS($A$2:A394,A394,$F$2:F394,F394)=1,1,0))</f>
        <v>0</v>
      </c>
      <c r="N394" s="12" t="str">
        <f aca="false">IF(A394="","",IFERROR(INDEX(Events!$F$2:$F$67,MATCH(A394,Events!$A$2:$A$67,0)),""))</f>
        <v>POL</v>
      </c>
      <c r="O394" s="12" t="n">
        <f aca="false">IF(AND(G394=1,K394="Yes",N394="POL"),IF(COUNTIFS($A$2:A394,A394,$D$2:D394,D394,$E$2:E394,E394,$G$2:G394,1)=1,1,0),0)</f>
        <v>0</v>
      </c>
      <c r="P394" s="12" t="n">
        <f aca="false">IF(AND(ISNUMBER(G394),K394="Yes",N394="POL"),IF(AND(G394&gt;=1,G394&lt;=3,COUNTIFS($A$2:A394,A394,$D$2:D394,D394,$E$2:E394,E394,$G$2:G394,G394)=1),1,0),0)</f>
        <v>0</v>
      </c>
    </row>
    <row r="395" customFormat="false" ht="15" hidden="false" customHeight="false" outlineLevel="0" collapsed="false">
      <c r="A395" s="12" t="s">
        <v>282</v>
      </c>
      <c r="B395" s="13" t="n">
        <v>46248</v>
      </c>
      <c r="C395" s="12" t="str">
        <f aca="false">IF(A395="","",IFERROR(INDEX(Events!$D$2:$D$67,MATCH(A395,Events!$A$2:$A$67,0)),"Unknown event ID"))</f>
        <v>Górskie Szosowe Mistrzostwa Polski (mountain road champs)</v>
      </c>
      <c r="D395" s="12" t="s">
        <v>423</v>
      </c>
      <c r="E395" s="12" t="s">
        <v>99</v>
      </c>
      <c r="F395" s="12" t="s">
        <v>103</v>
      </c>
      <c r="G395" s="12" t="n">
        <v>3</v>
      </c>
      <c r="H395" s="12" t="s">
        <v>366</v>
      </c>
      <c r="I395" s="12" t="s">
        <v>424</v>
      </c>
      <c r="J395" s="12" t="s">
        <v>418</v>
      </c>
      <c r="K395" s="12" t="str">
        <f aca="false">IF(A395="","",IFERROR(IF(INDEX(Events!$J$2:$J$67,MATCH(A395,Events!$A$2:$A$67,0))="Yes",IF(ISNUMBER(SEARCH("Criterium final",D395)),"No","Yes"),"No"),""))</f>
        <v>Yes</v>
      </c>
      <c r="L395" s="12"/>
      <c r="M395" s="12" t="n">
        <f aca="false">IF(OR(A395="",F395=""),0,IF(COUNTIFS($A$2:A395,A395,$F$2:F395,F395)=1,1,0))</f>
        <v>1</v>
      </c>
      <c r="N395" s="12" t="str">
        <f aca="false">IF(A395="","",IFERROR(INDEX(Events!$F$2:$F$67,MATCH(A395,Events!$A$2:$A$67,0)),""))</f>
        <v>POL</v>
      </c>
      <c r="O395" s="12" t="n">
        <f aca="false">IF(AND(G395=1,K395="Yes",N395="POL"),IF(COUNTIFS($A$2:A395,A395,$D$2:D395,D395,$E$2:E395,E395,$G$2:G395,1)=1,1,0),0)</f>
        <v>0</v>
      </c>
      <c r="P395" s="12" t="n">
        <f aca="false">IF(AND(ISNUMBER(G395),K395="Yes",N395="POL"),IF(AND(G395&gt;=1,G395&lt;=3,COUNTIFS($A$2:A395,A395,$D$2:D395,D395,$E$2:E395,E395,$G$2:G395,G395)=1),1,0),0)</f>
        <v>1</v>
      </c>
    </row>
    <row r="396" customFormat="false" ht="15" hidden="false" customHeight="false" outlineLevel="0" collapsed="false">
      <c r="A396" s="12" t="s">
        <v>344</v>
      </c>
      <c r="B396" s="13" t="n">
        <v>46260</v>
      </c>
      <c r="C396" s="12" t="str">
        <f aca="false">IF(A396="","",IFERROR(INDEX(Events!$D$2:$D$67,MATCH(A396,Events!$A$2:$A$67,0)),"Unknown event ID"))</f>
        <v>Druivenkoers – Overijse (juniors)</v>
      </c>
      <c r="D396" s="12" t="s">
        <v>365</v>
      </c>
      <c r="E396" s="12" t="s">
        <v>99</v>
      </c>
      <c r="F396" s="12" t="s">
        <v>103</v>
      </c>
      <c r="G396" s="12" t="n">
        <v>15</v>
      </c>
      <c r="H396" s="12" t="s">
        <v>366</v>
      </c>
      <c r="I396" s="12"/>
      <c r="J396" s="12" t="s">
        <v>105</v>
      </c>
      <c r="K396" s="12" t="str">
        <f aca="false">IF(A396="","",IFERROR(IF(INDEX(Events!$J$2:$J$67,MATCH(A396,Events!$A$2:$A$67,0))="Yes",IF(ISNUMBER(SEARCH("Criterium final",D396)),"No","Yes"),"No"),""))</f>
        <v>No</v>
      </c>
      <c r="L396" s="12"/>
      <c r="M396" s="12" t="n">
        <f aca="false">IF(OR(A396="",F396=""),0,IF(COUNTIFS($A$2:A396,A396,$F$2:F396,F396)=1,1,0))</f>
        <v>1</v>
      </c>
      <c r="N396" s="12" t="str">
        <f aca="false">IF(A396="","",IFERROR(INDEX(Events!$F$2:$F$67,MATCH(A396,Events!$A$2:$A$67,0)),""))</f>
        <v>BEL</v>
      </c>
      <c r="O396" s="12" t="n">
        <f aca="false">IF(AND(G396=1,K396="Yes",N396="POL"),IF(COUNTIFS($A$2:A396,A396,$D$2:D396,D396,$E$2:E396,E396,$G$2:G396,1)=1,1,0),0)</f>
        <v>0</v>
      </c>
      <c r="P396" s="12" t="n">
        <f aca="false">IF(AND(ISNUMBER(G396),K396="Yes",N396="POL"),IF(AND(G396&gt;=1,G396&lt;=3,COUNTIFS($A$2:A396,A396,$D$2:D396,D396,$E$2:E396,E396,$G$2:G396,G396)=1),1,0),0)</f>
        <v>0</v>
      </c>
    </row>
    <row r="397" customFormat="false" ht="15" hidden="false" customHeight="false" outlineLevel="0" collapsed="false">
      <c r="A397" s="12" t="s">
        <v>285</v>
      </c>
      <c r="B397" s="13" t="n">
        <v>46271</v>
      </c>
      <c r="C397" s="12" t="str">
        <f aca="false">IF(A397="","",IFERROR(INDEX(Events!$D$2:$D$67,MATCH(A397,Events!$A$2:$A$67,0)),"Unknown event ID"))</f>
        <v>55. Ogólnopolskie Kryterium Kolarskie</v>
      </c>
      <c r="D397" s="12" t="s">
        <v>433</v>
      </c>
      <c r="E397" s="12" t="s">
        <v>59</v>
      </c>
      <c r="F397" s="12" t="s">
        <v>103</v>
      </c>
      <c r="G397" s="12" t="n">
        <v>1</v>
      </c>
      <c r="H397" s="12" t="s">
        <v>366</v>
      </c>
      <c r="I397" s="12"/>
      <c r="J397" s="12" t="s">
        <v>461</v>
      </c>
      <c r="K397" s="12" t="str">
        <f aca="false">IF(A397="","",IFERROR(IF(INDEX(Events!$J$2:$J$67,MATCH(A397,Events!$A$2:$A$67,0))="Yes",IF(ISNUMBER(SEARCH("Criterium final",D397)),"No","Yes"),"No"),""))</f>
        <v>No</v>
      </c>
      <c r="L397" s="12"/>
      <c r="M397" s="12" t="n">
        <f aca="false">IF(OR(A397="",F397=""),0,IF(COUNTIFS($A$2:A397,A397,$F$2:F397,F397)=1,1,0))</f>
        <v>1</v>
      </c>
      <c r="N397" s="12" t="str">
        <f aca="false">IF(A397="","",IFERROR(INDEX(Events!$F$2:$F$67,MATCH(A397,Events!$A$2:$A$67,0)),""))</f>
        <v>POL</v>
      </c>
      <c r="O397" s="12" t="n">
        <f aca="false">IF(AND(G397=1,K397="Yes",N397="POL"),IF(COUNTIFS($A$2:A397,A397,$D$2:D397,D397,$E$2:E397,E397,$G$2:G397,1)=1,1,0),0)</f>
        <v>0</v>
      </c>
      <c r="P397" s="12" t="n">
        <f aca="false">IF(AND(ISNUMBER(G397),K397="Yes",N397="POL"),IF(AND(G397&gt;=1,G397&lt;=3,COUNTIFS($A$2:A397,A397,$D$2:D397,D397,$E$2:E397,E397,$G$2:G397,G397)=1),1,0),0)</f>
        <v>0</v>
      </c>
    </row>
    <row r="398" customFormat="false" ht="15" hidden="false" customHeight="false" outlineLevel="0" collapsed="false">
      <c r="A398" s="12" t="s">
        <v>285</v>
      </c>
      <c r="B398" s="13" t="n">
        <v>46271</v>
      </c>
      <c r="C398" s="12" t="str">
        <f aca="false">IF(A398="","",IFERROR(INDEX(Events!$D$2:$D$67,MATCH(A398,Events!$A$2:$A$67,0)),"Unknown event ID"))</f>
        <v>55. Ogólnopolskie Kryterium Kolarskie</v>
      </c>
      <c r="D398" s="12" t="s">
        <v>433</v>
      </c>
      <c r="E398" s="12" t="s">
        <v>99</v>
      </c>
      <c r="F398" s="12" t="s">
        <v>103</v>
      </c>
      <c r="G398" s="12" t="n">
        <v>1</v>
      </c>
      <c r="H398" s="12" t="s">
        <v>366</v>
      </c>
      <c r="I398" s="12"/>
      <c r="J398" s="12" t="s">
        <v>461</v>
      </c>
      <c r="K398" s="12" t="str">
        <f aca="false">IF(A398="","",IFERROR(IF(INDEX(Events!$J$2:$J$67,MATCH(A398,Events!$A$2:$A$67,0))="Yes",IF(ISNUMBER(SEARCH("Criterium final",D398)),"No","Yes"),"No"),""))</f>
        <v>No</v>
      </c>
      <c r="L398" s="12"/>
      <c r="M398" s="12" t="n">
        <f aca="false">IF(OR(A398="",F398=""),0,IF(COUNTIFS($A$2:A398,A398,$F$2:F398,F398)=1,1,0))</f>
        <v>0</v>
      </c>
      <c r="N398" s="12" t="str">
        <f aca="false">IF(A398="","",IFERROR(INDEX(Events!$F$2:$F$67,MATCH(A398,Events!$A$2:$A$67,0)),""))</f>
        <v>POL</v>
      </c>
      <c r="O398" s="12" t="n">
        <f aca="false">IF(AND(G398=1,K398="Yes",N398="POL"),IF(COUNTIFS($A$2:A398,A398,$D$2:D398,D398,$E$2:E398,E398,$G$2:G398,1)=1,1,0),0)</f>
        <v>0</v>
      </c>
      <c r="P398" s="12" t="n">
        <f aca="false">IF(AND(ISNUMBER(G398),K398="Yes",N398="POL"),IF(AND(G398&gt;=1,G398&lt;=3,COUNTIFS($A$2:A398,A398,$D$2:D398,D398,$E$2:E398,E398,$G$2:G398,G398)=1),1,0),0)</f>
        <v>0</v>
      </c>
    </row>
    <row r="399" customFormat="false" ht="15" hidden="false" customHeight="false" outlineLevel="0" collapsed="false">
      <c r="A399" s="12" t="s">
        <v>289</v>
      </c>
      <c r="B399" s="13" t="n">
        <v>46277</v>
      </c>
      <c r="C399" s="12" t="str">
        <f aca="false">IF(A399="","",IFERROR(INDEX(Events!$D$2:$D$67,MATCH(A399,Events!$A$2:$A$67,0)),"Unknown event ID"))</f>
        <v>Polish Pairs &amp; Team Time Trial Championships</v>
      </c>
      <c r="D399" s="12" t="s">
        <v>405</v>
      </c>
      <c r="E399" s="12" t="s">
        <v>99</v>
      </c>
      <c r="F399" s="12" t="s">
        <v>103</v>
      </c>
      <c r="G399" s="12" t="n">
        <v>1</v>
      </c>
      <c r="H399" s="12" t="s">
        <v>366</v>
      </c>
      <c r="I399" s="12" t="s">
        <v>485</v>
      </c>
      <c r="J399" s="12" t="s">
        <v>406</v>
      </c>
      <c r="K399" s="12" t="str">
        <f aca="false">IF(A399="","",IFERROR(IF(INDEX(Events!$J$2:$J$67,MATCH(A399,Events!$A$2:$A$67,0))="Yes",IF(ISNUMBER(SEARCH("Criterium final",D399)),"No","Yes"),"No"),""))</f>
        <v>Yes</v>
      </c>
      <c r="L399" s="12"/>
      <c r="M399" s="12" t="n">
        <f aca="false">IF(OR(A399="",F399=""),0,IF(COUNTIFS($A$2:A399,A399,$F$2:F399,F399)=1,1,0))</f>
        <v>1</v>
      </c>
      <c r="N399" s="12" t="str">
        <f aca="false">IF(A399="","",IFERROR(INDEX(Events!$F$2:$F$67,MATCH(A399,Events!$A$2:$A$67,0)),""))</f>
        <v>POL</v>
      </c>
      <c r="O399" s="12" t="n">
        <f aca="false">IF(AND(G399=1,K399="Yes",N399="POL"),IF(COUNTIFS($A$2:A399,A399,$D$2:D399,D399,$E$2:E399,E399,$G$2:G399,1)=1,1,0),0)</f>
        <v>1</v>
      </c>
      <c r="P399" s="12" t="n">
        <f aca="false">IF(AND(ISNUMBER(G399),K399="Yes",N399="POL"),IF(AND(G399&gt;=1,G399&lt;=3,COUNTIFS($A$2:A399,A399,$D$2:D399,D399,$E$2:E399,E399,$G$2:G399,G399)=1),1,0),0)</f>
        <v>1</v>
      </c>
    </row>
    <row r="400" customFormat="false" ht="15" hidden="false" customHeight="false" outlineLevel="0" collapsed="false">
      <c r="A400" s="12" t="s">
        <v>289</v>
      </c>
      <c r="B400" s="13" t="n">
        <v>46278</v>
      </c>
      <c r="C400" s="12" t="str">
        <f aca="false">IF(A400="","",IFERROR(INDEX(Events!$D$2:$D$67,MATCH(A400,Events!$A$2:$A$67,0)),"Unknown event ID"))</f>
        <v>Polish Pairs &amp; Team Time Trial Championships</v>
      </c>
      <c r="D400" s="12" t="s">
        <v>407</v>
      </c>
      <c r="E400" s="12" t="s">
        <v>99</v>
      </c>
      <c r="F400" s="12" t="s">
        <v>103</v>
      </c>
      <c r="G400" s="12" t="n">
        <v>1</v>
      </c>
      <c r="H400" s="12" t="s">
        <v>366</v>
      </c>
      <c r="I400" s="12" t="s">
        <v>486</v>
      </c>
      <c r="J400" s="12" t="s">
        <v>409</v>
      </c>
      <c r="K400" s="12" t="str">
        <f aca="false">IF(A400="","",IFERROR(IF(INDEX(Events!$J$2:$J$67,MATCH(A400,Events!$A$2:$A$67,0))="Yes",IF(ISNUMBER(SEARCH("Criterium final",D400)),"No","Yes"),"No"),""))</f>
        <v>Yes</v>
      </c>
      <c r="L400" s="12"/>
      <c r="M400" s="12" t="n">
        <f aca="false">IF(OR(A400="",F400=""),0,IF(COUNTIFS($A$2:A400,A400,$F$2:F400,F400)=1,1,0))</f>
        <v>0</v>
      </c>
      <c r="N400" s="12" t="str">
        <f aca="false">IF(A400="","",IFERROR(INDEX(Events!$F$2:$F$67,MATCH(A400,Events!$A$2:$A$67,0)),""))</f>
        <v>POL</v>
      </c>
      <c r="O400" s="12" t="n">
        <f aca="false">IF(AND(G400=1,K400="Yes",N400="POL"),IF(COUNTIFS($A$2:A400,A400,$D$2:D400,D400,$E$2:E400,E400,$G$2:G400,1)=1,1,0),0)</f>
        <v>1</v>
      </c>
      <c r="P400" s="12" t="n">
        <f aca="false">IF(AND(ISNUMBER(G400),K400="Yes",N400="POL"),IF(AND(G400&gt;=1,G400&lt;=3,COUNTIFS($A$2:A400,A400,$D$2:D400,D400,$E$2:E400,E400,$G$2:G400,G400)=1),1,0),0)</f>
        <v>1</v>
      </c>
    </row>
    <row r="401" customFormat="false" ht="15" hidden="false" customHeight="false" outlineLevel="0" collapsed="false">
      <c r="A401" s="12" t="s">
        <v>346</v>
      </c>
      <c r="B401" s="13" t="n">
        <v>46287</v>
      </c>
      <c r="C401" s="12" t="str">
        <f aca="false">IF(A401="","",IFERROR(INDEX(Events!$D$2:$D$67,MATCH(A401,Events!$A$2:$A$67,0)),"Unknown event ID"))</f>
        <v>UCI Road World Championships</v>
      </c>
      <c r="D401" s="12" t="s">
        <v>387</v>
      </c>
      <c r="E401" s="12" t="s">
        <v>100</v>
      </c>
      <c r="F401" s="12" t="s">
        <v>103</v>
      </c>
      <c r="G401" s="12" t="n">
        <v>22</v>
      </c>
      <c r="H401" s="12" t="s">
        <v>366</v>
      </c>
      <c r="I401" s="12"/>
      <c r="J401" s="12" t="s">
        <v>105</v>
      </c>
      <c r="K401" s="12" t="str">
        <f aca="false">IF(A401="","",IFERROR(IF(INDEX(Events!$J$2:$J$67,MATCH(A401,Events!$A$2:$A$67,0))="Yes",IF(ISNUMBER(SEARCH("Criterium final",D401)),"No","Yes"),"No"),""))</f>
        <v>No</v>
      </c>
      <c r="L401" s="12"/>
      <c r="M401" s="12" t="n">
        <f aca="false">IF(OR(A401="",F401=""),0,IF(COUNTIFS($A$2:A401,A401,$F$2:F401,F401)=1,1,0))</f>
        <v>1</v>
      </c>
      <c r="N401" s="12" t="str">
        <f aca="false">IF(A401="","",IFERROR(INDEX(Events!$F$2:$F$67,MATCH(A401,Events!$A$2:$A$67,0)),""))</f>
        <v>CAN</v>
      </c>
      <c r="O401" s="12" t="n">
        <f aca="false">IF(AND(G401=1,K401="Yes",N401="POL"),IF(COUNTIFS($A$2:A401,A401,$D$2:D401,D401,$E$2:E401,E401,$G$2:G401,1)=1,1,0),0)</f>
        <v>0</v>
      </c>
      <c r="P401" s="12" t="n">
        <f aca="false">IF(AND(ISNUMBER(G401),K401="Yes",N401="POL"),IF(AND(G401&gt;=1,G401&lt;=3,COUNTIFS($A$2:A401,A401,$D$2:D401,D401,$E$2:E401,E401,$G$2:G401,G401)=1),1,0),0)</f>
        <v>0</v>
      </c>
    </row>
    <row r="402" customFormat="false" ht="15" hidden="false" customHeight="false" outlineLevel="0" collapsed="false">
      <c r="A402" s="12" t="s">
        <v>346</v>
      </c>
      <c r="B402" s="13" t="n">
        <v>46290</v>
      </c>
      <c r="C402" s="12" t="str">
        <f aca="false">IF(A402="","",IFERROR(INDEX(Events!$D$2:$D$67,MATCH(A402,Events!$A$2:$A$67,0)),"Unknown event ID"))</f>
        <v>UCI Road World Championships</v>
      </c>
      <c r="D402" s="12" t="s">
        <v>367</v>
      </c>
      <c r="E402" s="12" t="s">
        <v>100</v>
      </c>
      <c r="F402" s="12" t="s">
        <v>103</v>
      </c>
      <c r="G402" s="12" t="n">
        <v>44</v>
      </c>
      <c r="H402" s="12" t="s">
        <v>366</v>
      </c>
      <c r="I402" s="12"/>
      <c r="J402" s="12" t="s">
        <v>105</v>
      </c>
      <c r="K402" s="12" t="str">
        <f aca="false">IF(A402="","",IFERROR(IF(INDEX(Events!$J$2:$J$67,MATCH(A402,Events!$A$2:$A$67,0))="Yes",IF(ISNUMBER(SEARCH("Criterium final",D402)),"No","Yes"),"No"),""))</f>
        <v>No</v>
      </c>
      <c r="L402" s="12"/>
      <c r="M402" s="12" t="n">
        <f aca="false">IF(OR(A402="",F402=""),0,IF(COUNTIFS($A$2:A402,A402,$F$2:F402,F402)=1,1,0))</f>
        <v>0</v>
      </c>
      <c r="N402" s="12" t="str">
        <f aca="false">IF(A402="","",IFERROR(INDEX(Events!$F$2:$F$67,MATCH(A402,Events!$A$2:$A$67,0)),""))</f>
        <v>CAN</v>
      </c>
      <c r="O402" s="12" t="n">
        <f aca="false">IF(AND(G402=1,K402="Yes",N402="POL"),IF(COUNTIFS($A$2:A402,A402,$D$2:D402,D402,$E$2:E402,E402,$G$2:G402,1)=1,1,0),0)</f>
        <v>0</v>
      </c>
      <c r="P402" s="12" t="n">
        <f aca="false">IF(AND(ISNUMBER(G402),K402="Yes",N402="POL"),IF(AND(G402&gt;=1,G402&lt;=3,COUNTIFS($A$2:A402,A402,$D$2:D402,D402,$E$2:E402,E402,$G$2:G402,G402)=1),1,0),0)</f>
        <v>0</v>
      </c>
    </row>
    <row r="403" customFormat="false" ht="15" hidden="false" customHeight="false" outlineLevel="0" collapsed="false">
      <c r="A403" s="12" t="s">
        <v>164</v>
      </c>
      <c r="B403" s="13" t="n">
        <v>46074</v>
      </c>
      <c r="C403" s="12" t="str">
        <f aca="false">IF(A403="","",IFERROR(INDEX(Events!$D$2:$D$67,MATCH(A403,Events!$A$2:$A$67,0)),"Unknown event ID"))</f>
        <v>Polish Cup (track) – Puchar Polski</v>
      </c>
      <c r="D403" s="12" t="s">
        <v>371</v>
      </c>
      <c r="E403" s="12" t="s">
        <v>428</v>
      </c>
      <c r="F403" s="12" t="s">
        <v>106</v>
      </c>
      <c r="G403" s="12" t="n">
        <v>3</v>
      </c>
      <c r="H403" s="12" t="s">
        <v>366</v>
      </c>
      <c r="I403" s="12"/>
      <c r="J403" s="12" t="s">
        <v>482</v>
      </c>
      <c r="K403" s="12" t="str">
        <f aca="false">IF(A403="","",IFERROR(IF(INDEX(Events!$J$2:$J$67,MATCH(A403,Events!$A$2:$A$67,0))="Yes",IF(ISNUMBER(SEARCH("Criterium final",D403)),"No","Yes"),"No"),""))</f>
        <v>No</v>
      </c>
      <c r="L403" s="12"/>
      <c r="M403" s="12" t="n">
        <f aca="false">IF(OR(A403="",F403=""),0,IF(COUNTIFS($A$2:A403,A403,$F$2:F403,F403)=1,1,0))</f>
        <v>1</v>
      </c>
      <c r="N403" s="12" t="str">
        <f aca="false">IF(A403="","",IFERROR(INDEX(Events!$F$2:$F$67,MATCH(A403,Events!$A$2:$A$67,0)),""))</f>
        <v>POL</v>
      </c>
      <c r="O403" s="12" t="n">
        <f aca="false">IF(AND(G403=1,K403="Yes",N403="POL"),IF(COUNTIFS($A$2:A403,A403,$D$2:D403,D403,$E$2:E403,E403,$G$2:G403,1)=1,1,0),0)</f>
        <v>0</v>
      </c>
      <c r="P403" s="12" t="n">
        <f aca="false">IF(AND(ISNUMBER(G403),K403="Yes",N403="POL"),IF(AND(G403&gt;=1,G403&lt;=3,COUNTIFS($A$2:A403,A403,$D$2:D403,D403,$E$2:E403,E403,$G$2:G403,G403)=1),1,0),0)</f>
        <v>0</v>
      </c>
    </row>
    <row r="404" customFormat="false" ht="15" hidden="false" customHeight="false" outlineLevel="0" collapsed="false">
      <c r="A404" s="12" t="s">
        <v>164</v>
      </c>
      <c r="B404" s="13" t="n">
        <v>46075</v>
      </c>
      <c r="C404" s="12" t="str">
        <f aca="false">IF(A404="","",IFERROR(INDEX(Events!$D$2:$D$67,MATCH(A404,Events!$A$2:$A$67,0)),"Unknown event ID"))</f>
        <v>Polish Cup (track) – Puchar Polski</v>
      </c>
      <c r="D404" s="12" t="s">
        <v>487</v>
      </c>
      <c r="E404" s="12" t="s">
        <v>428</v>
      </c>
      <c r="F404" s="12" t="s">
        <v>106</v>
      </c>
      <c r="G404" s="12" t="n">
        <v>1</v>
      </c>
      <c r="H404" s="12" t="s">
        <v>366</v>
      </c>
      <c r="I404" s="12"/>
      <c r="J404" s="12" t="s">
        <v>472</v>
      </c>
      <c r="K404" s="12" t="str">
        <f aca="false">IF(A404="","",IFERROR(IF(INDEX(Events!$J$2:$J$67,MATCH(A404,Events!$A$2:$A$67,0))="Yes",IF(ISNUMBER(SEARCH("Criterium final",D404)),"No","Yes"),"No"),""))</f>
        <v>No</v>
      </c>
      <c r="L404" s="12"/>
      <c r="M404" s="12" t="n">
        <f aca="false">IF(OR(A404="",F404=""),0,IF(COUNTIFS($A$2:A404,A404,$F$2:F404,F404)=1,1,0))</f>
        <v>0</v>
      </c>
      <c r="N404" s="12" t="str">
        <f aca="false">IF(A404="","",IFERROR(INDEX(Events!$F$2:$F$67,MATCH(A404,Events!$A$2:$A$67,0)),""))</f>
        <v>POL</v>
      </c>
      <c r="O404" s="12" t="n">
        <f aca="false">IF(AND(G404=1,K404="Yes",N404="POL"),IF(COUNTIFS($A$2:A404,A404,$D$2:D404,D404,$E$2:E404,E404,$G$2:G404,1)=1,1,0),0)</f>
        <v>0</v>
      </c>
      <c r="P404" s="12" t="n">
        <f aca="false">IF(AND(ISNUMBER(G404),K404="Yes",N404="POL"),IF(AND(G404&gt;=1,G404&lt;=3,COUNTIFS($A$2:A404,A404,$D$2:D404,D404,$E$2:E404,E404,$G$2:G404,G404)=1),1,0),0)</f>
        <v>0</v>
      </c>
    </row>
    <row r="405" customFormat="false" ht="15" hidden="false" customHeight="false" outlineLevel="0" collapsed="false">
      <c r="A405" s="12" t="s">
        <v>164</v>
      </c>
      <c r="B405" s="13" t="n">
        <v>46075</v>
      </c>
      <c r="C405" s="12" t="str">
        <f aca="false">IF(A405="","",IFERROR(INDEX(Events!$D$2:$D$67,MATCH(A405,Events!$A$2:$A$67,0)),"Unknown event ID"))</f>
        <v>Polish Cup (track) – Puchar Polski</v>
      </c>
      <c r="D405" s="12" t="s">
        <v>370</v>
      </c>
      <c r="E405" s="12" t="s">
        <v>428</v>
      </c>
      <c r="F405" s="12" t="s">
        <v>106</v>
      </c>
      <c r="G405" s="12" t="n">
        <v>2</v>
      </c>
      <c r="H405" s="12" t="s">
        <v>366</v>
      </c>
      <c r="I405" s="12" t="s">
        <v>488</v>
      </c>
      <c r="J405" s="12" t="s">
        <v>472</v>
      </c>
      <c r="K405" s="12" t="str">
        <f aca="false">IF(A405="","",IFERROR(IF(INDEX(Events!$J$2:$J$67,MATCH(A405,Events!$A$2:$A$67,0))="Yes",IF(ISNUMBER(SEARCH("Criterium final",D405)),"No","Yes"),"No"),""))</f>
        <v>No</v>
      </c>
      <c r="L405" s="12"/>
      <c r="M405" s="12" t="n">
        <f aca="false">IF(OR(A405="",F405=""),0,IF(COUNTIFS($A$2:A405,A405,$F$2:F405,F405)=1,1,0))</f>
        <v>0</v>
      </c>
      <c r="N405" s="12" t="str">
        <f aca="false">IF(A405="","",IFERROR(INDEX(Events!$F$2:$F$67,MATCH(A405,Events!$A$2:$A$67,0)),""))</f>
        <v>POL</v>
      </c>
      <c r="O405" s="12" t="n">
        <f aca="false">IF(AND(G405=1,K405="Yes",N405="POL"),IF(COUNTIFS($A$2:A405,A405,$D$2:D405,D405,$E$2:E405,E405,$G$2:G405,1)=1,1,0),0)</f>
        <v>0</v>
      </c>
      <c r="P405" s="12" t="n">
        <f aca="false">IF(AND(ISNUMBER(G405),K405="Yes",N405="POL"),IF(AND(G405&gt;=1,G405&lt;=3,COUNTIFS($A$2:A405,A405,$D$2:D405,D405,$E$2:E405,E405,$G$2:G405,G405)=1),1,0),0)</f>
        <v>0</v>
      </c>
    </row>
    <row r="406" customFormat="false" ht="15" hidden="false" customHeight="false" outlineLevel="0" collapsed="false">
      <c r="A406" s="12" t="s">
        <v>306</v>
      </c>
      <c r="B406" s="13" t="n">
        <v>46096</v>
      </c>
      <c r="C406" s="12" t="str">
        <f aca="false">IF(A406="","",IFERROR(INDEX(Events!$D$2:$D$67,MATCH(A406,Events!$A$2:$A$67,0)),"Unknown event ID"))</f>
        <v>Piccolo Trofeo Alfredo Binda – Valli del Verbano (juniors)</v>
      </c>
      <c r="D406" s="12" t="s">
        <v>365</v>
      </c>
      <c r="E406" s="12" t="s">
        <v>99</v>
      </c>
      <c r="F406" s="12" t="s">
        <v>106</v>
      </c>
      <c r="G406" s="12"/>
      <c r="H406" s="12" t="s">
        <v>33</v>
      </c>
      <c r="I406" s="12"/>
      <c r="J406" s="12" t="s">
        <v>108</v>
      </c>
      <c r="K406" s="12" t="str">
        <f aca="false">IF(A406="","",IFERROR(IF(INDEX(Events!$J$2:$J$67,MATCH(A406,Events!$A$2:$A$67,0))="Yes",IF(ISNUMBER(SEARCH("Criterium final",D406)),"No","Yes"),"No"),""))</f>
        <v>No</v>
      </c>
      <c r="L406" s="12"/>
      <c r="M406" s="12" t="n">
        <f aca="false">IF(OR(A406="",F406=""),0,IF(COUNTIFS($A$2:A406,A406,$F$2:F406,F406)=1,1,0))</f>
        <v>1</v>
      </c>
      <c r="N406" s="12" t="str">
        <f aca="false">IF(A406="","",IFERROR(INDEX(Events!$F$2:$F$67,MATCH(A406,Events!$A$2:$A$67,0)),""))</f>
        <v>ITA</v>
      </c>
      <c r="O406" s="12" t="n">
        <f aca="false">IF(AND(G406=1,K406="Yes",N406="POL"),IF(COUNTIFS($A$2:A406,A406,$D$2:D406,D406,$E$2:E406,E406,$G$2:G406,1)=1,1,0),0)</f>
        <v>0</v>
      </c>
      <c r="P406" s="12" t="n">
        <f aca="false">IF(AND(ISNUMBER(G406),K406="Yes",N406="POL"),IF(AND(G406&gt;=1,G406&lt;=3,COUNTIFS($A$2:A406,A406,$D$2:D406,D406,$E$2:E406,E406,$G$2:G406,G406)=1),1,0),0)</f>
        <v>0</v>
      </c>
    </row>
    <row r="407" customFormat="false" ht="15" hidden="false" customHeight="false" outlineLevel="0" collapsed="false">
      <c r="A407" s="12" t="s">
        <v>199</v>
      </c>
      <c r="B407" s="13" t="n">
        <v>46136</v>
      </c>
      <c r="C407" s="12" t="str">
        <f aca="false">IF(A407="","",IFERROR(INDEX(Events!$D$2:$D$67,MATCH(A407,Events!$A$2:$A$67,0)),"Unknown event ID"))</f>
        <v>EPZ Omloop van Borsele</v>
      </c>
      <c r="D407" s="12" t="s">
        <v>377</v>
      </c>
      <c r="E407" s="12" t="s">
        <v>99</v>
      </c>
      <c r="F407" s="12" t="s">
        <v>106</v>
      </c>
      <c r="G407" s="12" t="n">
        <v>66</v>
      </c>
      <c r="H407" s="12" t="s">
        <v>366</v>
      </c>
      <c r="I407" s="12"/>
      <c r="J407" s="12" t="s">
        <v>108</v>
      </c>
      <c r="K407" s="12" t="str">
        <f aca="false">IF(A407="","",IFERROR(IF(INDEX(Events!$J$2:$J$67,MATCH(A407,Events!$A$2:$A$67,0))="Yes",IF(ISNUMBER(SEARCH("Criterium final",D407)),"No","Yes"),"No"),""))</f>
        <v>No</v>
      </c>
      <c r="L407" s="12"/>
      <c r="M407" s="12" t="n">
        <f aca="false">IF(OR(A407="",F407=""),0,IF(COUNTIFS($A$2:A407,A407,$F$2:F407,F407)=1,1,0))</f>
        <v>1</v>
      </c>
      <c r="N407" s="12" t="str">
        <f aca="false">IF(A407="","",IFERROR(INDEX(Events!$F$2:$F$67,MATCH(A407,Events!$A$2:$A$67,0)),""))</f>
        <v>NED</v>
      </c>
      <c r="O407" s="12" t="n">
        <f aca="false">IF(AND(G407=1,K407="Yes",N407="POL"),IF(COUNTIFS($A$2:A407,A407,$D$2:D407,D407,$E$2:E407,E407,$G$2:G407,1)=1,1,0),0)</f>
        <v>0</v>
      </c>
      <c r="P407" s="12" t="n">
        <f aca="false">IF(AND(ISNUMBER(G407),K407="Yes",N407="POL"),IF(AND(G407&gt;=1,G407&lt;=3,COUNTIFS($A$2:A407,A407,$D$2:D407,D407,$E$2:E407,E407,$G$2:G407,G407)=1),1,0),0)</f>
        <v>0</v>
      </c>
    </row>
    <row r="408" customFormat="false" ht="15" hidden="false" customHeight="false" outlineLevel="0" collapsed="false">
      <c r="A408" s="12" t="s">
        <v>199</v>
      </c>
      <c r="B408" s="13" t="n">
        <v>46137</v>
      </c>
      <c r="C408" s="12" t="str">
        <f aca="false">IF(A408="","",IFERROR(INDEX(Events!$D$2:$D$67,MATCH(A408,Events!$A$2:$A$67,0)),"Unknown event ID"))</f>
        <v>EPZ Omloop van Borsele</v>
      </c>
      <c r="D408" s="12" t="s">
        <v>373</v>
      </c>
      <c r="E408" s="12" t="s">
        <v>99</v>
      </c>
      <c r="F408" s="12" t="s">
        <v>106</v>
      </c>
      <c r="G408" s="12" t="n">
        <v>46</v>
      </c>
      <c r="H408" s="12" t="s">
        <v>366</v>
      </c>
      <c r="I408" s="12"/>
      <c r="J408" s="12" t="s">
        <v>108</v>
      </c>
      <c r="K408" s="12" t="str">
        <f aca="false">IF(A408="","",IFERROR(IF(INDEX(Events!$J$2:$J$67,MATCH(A408,Events!$A$2:$A$67,0))="Yes",IF(ISNUMBER(SEARCH("Criterium final",D408)),"No","Yes"),"No"),""))</f>
        <v>No</v>
      </c>
      <c r="L408" s="12"/>
      <c r="M408" s="12" t="n">
        <f aca="false">IF(OR(A408="",F408=""),0,IF(COUNTIFS($A$2:A408,A408,$F$2:F408,F408)=1,1,0))</f>
        <v>0</v>
      </c>
      <c r="N408" s="12" t="str">
        <f aca="false">IF(A408="","",IFERROR(INDEX(Events!$F$2:$F$67,MATCH(A408,Events!$A$2:$A$67,0)),""))</f>
        <v>NED</v>
      </c>
      <c r="O408" s="12" t="n">
        <f aca="false">IF(AND(G408=1,K408="Yes",N408="POL"),IF(COUNTIFS($A$2:A408,A408,$D$2:D408,D408,$E$2:E408,E408,$G$2:G408,1)=1,1,0),0)</f>
        <v>0</v>
      </c>
      <c r="P408" s="12" t="n">
        <f aca="false">IF(AND(ISNUMBER(G408),K408="Yes",N408="POL"),IF(AND(G408&gt;=1,G408&lt;=3,COUNTIFS($A$2:A408,A408,$D$2:D408,D408,$E$2:E408,E408,$G$2:G408,G408)=1),1,0),0)</f>
        <v>0</v>
      </c>
    </row>
    <row r="409" customFormat="false" ht="15" hidden="false" customHeight="false" outlineLevel="0" collapsed="false">
      <c r="A409" s="12" t="s">
        <v>199</v>
      </c>
      <c r="B409" s="13" t="n">
        <v>46138</v>
      </c>
      <c r="C409" s="12" t="str">
        <f aca="false">IF(A409="","",IFERROR(INDEX(Events!$D$2:$D$67,MATCH(A409,Events!$A$2:$A$67,0)),"Unknown event ID"))</f>
        <v>EPZ Omloop van Borsele</v>
      </c>
      <c r="D409" s="12" t="s">
        <v>374</v>
      </c>
      <c r="E409" s="12" t="s">
        <v>99</v>
      </c>
      <c r="F409" s="12" t="s">
        <v>106</v>
      </c>
      <c r="G409" s="12" t="n">
        <v>56</v>
      </c>
      <c r="H409" s="12" t="s">
        <v>366</v>
      </c>
      <c r="I409" s="12"/>
      <c r="J409" s="12" t="s">
        <v>108</v>
      </c>
      <c r="K409" s="12" t="str">
        <f aca="false">IF(A409="","",IFERROR(IF(INDEX(Events!$J$2:$J$67,MATCH(A409,Events!$A$2:$A$67,0))="Yes",IF(ISNUMBER(SEARCH("Criterium final",D409)),"No","Yes"),"No"),""))</f>
        <v>No</v>
      </c>
      <c r="L409" s="12"/>
      <c r="M409" s="12" t="n">
        <f aca="false">IF(OR(A409="",F409=""),0,IF(COUNTIFS($A$2:A409,A409,$F$2:F409,F409)=1,1,0))</f>
        <v>0</v>
      </c>
      <c r="N409" s="12" t="str">
        <f aca="false">IF(A409="","",IFERROR(INDEX(Events!$F$2:$F$67,MATCH(A409,Events!$A$2:$A$67,0)),""))</f>
        <v>NED</v>
      </c>
      <c r="O409" s="12" t="n">
        <f aca="false">IF(AND(G409=1,K409="Yes",N409="POL"),IF(COUNTIFS($A$2:A409,A409,$D$2:D409,D409,$E$2:E409,E409,$G$2:G409,1)=1,1,0),0)</f>
        <v>0</v>
      </c>
      <c r="P409" s="12" t="n">
        <f aca="false">IF(AND(ISNUMBER(G409),K409="Yes",N409="POL"),IF(AND(G409&gt;=1,G409&lt;=3,COUNTIFS($A$2:A409,A409,$D$2:D409,D409,$E$2:E409,E409,$G$2:G409,G409)=1),1,0),0)</f>
        <v>0</v>
      </c>
    </row>
    <row r="410" customFormat="false" ht="15" hidden="false" customHeight="false" outlineLevel="0" collapsed="false">
      <c r="A410" s="12" t="s">
        <v>199</v>
      </c>
      <c r="B410" s="13" t="n">
        <v>46138</v>
      </c>
      <c r="C410" s="12" t="str">
        <f aca="false">IF(A410="","",IFERROR(INDEX(Events!$D$2:$D$67,MATCH(A410,Events!$A$2:$A$67,0)),"Unknown event ID"))</f>
        <v>EPZ Omloop van Borsele</v>
      </c>
      <c r="D410" s="12" t="s">
        <v>376</v>
      </c>
      <c r="E410" s="12" t="s">
        <v>99</v>
      </c>
      <c r="F410" s="12" t="s">
        <v>106</v>
      </c>
      <c r="G410" s="12" t="n">
        <v>57</v>
      </c>
      <c r="H410" s="12" t="s">
        <v>366</v>
      </c>
      <c r="I410" s="12"/>
      <c r="J410" s="12" t="s">
        <v>108</v>
      </c>
      <c r="K410" s="12" t="str">
        <f aca="false">IF(A410="","",IFERROR(IF(INDEX(Events!$J$2:$J$67,MATCH(A410,Events!$A$2:$A$67,0))="Yes",IF(ISNUMBER(SEARCH("Criterium final",D410)),"No","Yes"),"No"),""))</f>
        <v>No</v>
      </c>
      <c r="L410" s="12"/>
      <c r="M410" s="12" t="n">
        <f aca="false">IF(OR(A410="",F410=""),0,IF(COUNTIFS($A$2:A410,A410,$F$2:F410,F410)=1,1,0))</f>
        <v>0</v>
      </c>
      <c r="N410" s="12" t="str">
        <f aca="false">IF(A410="","",IFERROR(INDEX(Events!$F$2:$F$67,MATCH(A410,Events!$A$2:$A$67,0)),""))</f>
        <v>NED</v>
      </c>
      <c r="O410" s="12" t="n">
        <f aca="false">IF(AND(G410=1,K410="Yes",N410="POL"),IF(COUNTIFS($A$2:A410,A410,$D$2:D410,D410,$E$2:E410,E410,$G$2:G410,1)=1,1,0),0)</f>
        <v>0</v>
      </c>
      <c r="P410" s="12" t="n">
        <f aca="false">IF(AND(ISNUMBER(G410),K410="Yes",N410="POL"),IF(AND(G410&gt;=1,G410&lt;=3,COUNTIFS($A$2:A410,A410,$D$2:D410,D410,$E$2:E410,E410,$G$2:G410,G410)=1),1,0),0)</f>
        <v>0</v>
      </c>
    </row>
    <row r="411" customFormat="false" ht="15" hidden="false" customHeight="false" outlineLevel="0" collapsed="false">
      <c r="A411" s="12" t="s">
        <v>214</v>
      </c>
      <c r="B411" s="13" t="n">
        <v>46151</v>
      </c>
      <c r="C411" s="12" t="str">
        <f aca="false">IF(A411="","",IFERROR(INDEX(Events!$D$2:$D$67,MATCH(A411,Events!$A$2:$A$67,0)),"Unknown event ID"))</f>
        <v>Polish Cup (road)</v>
      </c>
      <c r="D411" s="12" t="s">
        <v>387</v>
      </c>
      <c r="E411" s="12" t="s">
        <v>99</v>
      </c>
      <c r="F411" s="12" t="s">
        <v>106</v>
      </c>
      <c r="G411" s="12" t="n">
        <v>3</v>
      </c>
      <c r="H411" s="12" t="s">
        <v>366</v>
      </c>
      <c r="I411" s="12"/>
      <c r="J411" s="12" t="s">
        <v>484</v>
      </c>
      <c r="K411" s="12" t="str">
        <f aca="false">IF(A411="","",IFERROR(IF(INDEX(Events!$J$2:$J$67,MATCH(A411,Events!$A$2:$A$67,0))="Yes",IF(ISNUMBER(SEARCH("Criterium final",D411)),"No","Yes"),"No"),""))</f>
        <v>No</v>
      </c>
      <c r="L411" s="12"/>
      <c r="M411" s="12" t="n">
        <f aca="false">IF(OR(A411="",F411=""),0,IF(COUNTIFS($A$2:A411,A411,$F$2:F411,F411)=1,1,0))</f>
        <v>1</v>
      </c>
      <c r="N411" s="12" t="str">
        <f aca="false">IF(A411="","",IFERROR(INDEX(Events!$F$2:$F$67,MATCH(A411,Events!$A$2:$A$67,0)),""))</f>
        <v>POL</v>
      </c>
      <c r="O411" s="12" t="n">
        <f aca="false">IF(AND(G411=1,K411="Yes",N411="POL"),IF(COUNTIFS($A$2:A411,A411,$D$2:D411,D411,$E$2:E411,E411,$G$2:G411,1)=1,1,0),0)</f>
        <v>0</v>
      </c>
      <c r="P411" s="12" t="n">
        <f aca="false">IF(AND(ISNUMBER(G411),K411="Yes",N411="POL"),IF(AND(G411&gt;=1,G411&lt;=3,COUNTIFS($A$2:A411,A411,$D$2:D411,D411,$E$2:E411,E411,$G$2:G411,G411)=1),1,0),0)</f>
        <v>0</v>
      </c>
    </row>
    <row r="412" customFormat="false" ht="15" hidden="false" customHeight="false" outlineLevel="0" collapsed="false">
      <c r="A412" s="12" t="s">
        <v>214</v>
      </c>
      <c r="B412" s="13" t="n">
        <v>46152</v>
      </c>
      <c r="C412" s="12" t="str">
        <f aca="false">IF(A412="","",IFERROR(INDEX(Events!$D$2:$D$67,MATCH(A412,Events!$A$2:$A$67,0)),"Unknown event ID"))</f>
        <v>Polish Cup (road)</v>
      </c>
      <c r="D412" s="12" t="s">
        <v>367</v>
      </c>
      <c r="E412" s="12" t="s">
        <v>99</v>
      </c>
      <c r="F412" s="12" t="s">
        <v>106</v>
      </c>
      <c r="G412" s="12" t="n">
        <v>1</v>
      </c>
      <c r="H412" s="12" t="s">
        <v>366</v>
      </c>
      <c r="I412" s="12"/>
      <c r="J412" s="12" t="s">
        <v>484</v>
      </c>
      <c r="K412" s="12" t="str">
        <f aca="false">IF(A412="","",IFERROR(IF(INDEX(Events!$J$2:$J$67,MATCH(A412,Events!$A$2:$A$67,0))="Yes",IF(ISNUMBER(SEARCH("Criterium final",D412)),"No","Yes"),"No"),""))</f>
        <v>No</v>
      </c>
      <c r="L412" s="12"/>
      <c r="M412" s="12" t="n">
        <f aca="false">IF(OR(A412="",F412=""),0,IF(COUNTIFS($A$2:A412,A412,$F$2:F412,F412)=1,1,0))</f>
        <v>0</v>
      </c>
      <c r="N412" s="12" t="str">
        <f aca="false">IF(A412="","",IFERROR(INDEX(Events!$F$2:$F$67,MATCH(A412,Events!$A$2:$A$67,0)),""))</f>
        <v>POL</v>
      </c>
      <c r="O412" s="12" t="n">
        <f aca="false">IF(AND(G412=1,K412="Yes",N412="POL"),IF(COUNTIFS($A$2:A412,A412,$D$2:D412,D412,$E$2:E412,E412,$G$2:G412,1)=1,1,0),0)</f>
        <v>0</v>
      </c>
      <c r="P412" s="12" t="n">
        <f aca="false">IF(AND(ISNUMBER(G412),K412="Yes",N412="POL"),IF(AND(G412&gt;=1,G412&lt;=3,COUNTIFS($A$2:A412,A412,$D$2:D412,D412,$E$2:E412,E412,$G$2:G412,G412)=1),1,0),0)</f>
        <v>0</v>
      </c>
    </row>
    <row r="413" customFormat="false" ht="15" hidden="false" customHeight="false" outlineLevel="0" collapsed="false">
      <c r="A413" s="12" t="s">
        <v>246</v>
      </c>
      <c r="B413" s="13" t="n">
        <v>46198</v>
      </c>
      <c r="C413" s="12" t="str">
        <f aca="false">IF(A413="","",IFERROR(INDEX(Events!$D$2:$D$67,MATCH(A413,Events!$A$2:$A$67,0)),"Unknown event ID"))</f>
        <v>Polish Road Championships (ITT + road race)</v>
      </c>
      <c r="D413" s="12" t="s">
        <v>387</v>
      </c>
      <c r="E413" s="12" t="s">
        <v>100</v>
      </c>
      <c r="F413" s="12" t="s">
        <v>106</v>
      </c>
      <c r="G413" s="12" t="n">
        <v>4</v>
      </c>
      <c r="H413" s="12" t="s">
        <v>366</v>
      </c>
      <c r="I413" s="12"/>
      <c r="J413" s="12" t="s">
        <v>108</v>
      </c>
      <c r="K413" s="12" t="str">
        <f aca="false">IF(A413="","",IFERROR(IF(INDEX(Events!$J$2:$J$67,MATCH(A413,Events!$A$2:$A$67,0))="Yes",IF(ISNUMBER(SEARCH("Criterium final",D413)),"No","Yes"),"No"),""))</f>
        <v>Yes</v>
      </c>
      <c r="L413" s="12"/>
      <c r="M413" s="12" t="n">
        <f aca="false">IF(OR(A413="",F413=""),0,IF(COUNTIFS($A$2:A413,A413,$F$2:F413,F413)=1,1,0))</f>
        <v>1</v>
      </c>
      <c r="N413" s="12" t="str">
        <f aca="false">IF(A413="","",IFERROR(INDEX(Events!$F$2:$F$67,MATCH(A413,Events!$A$2:$A$67,0)),""))</f>
        <v>POL</v>
      </c>
      <c r="O413" s="12" t="n">
        <f aca="false">IF(AND(G413=1,K413="Yes",N413="POL"),IF(COUNTIFS($A$2:A413,A413,$D$2:D413,D413,$E$2:E413,E413,$G$2:G413,1)=1,1,0),0)</f>
        <v>0</v>
      </c>
      <c r="P413" s="12" t="n">
        <f aca="false">IF(AND(ISNUMBER(G413),K413="Yes",N413="POL"),IF(AND(G413&gt;=1,G413&lt;=3,COUNTIFS($A$2:A413,A413,$D$2:D413,D413,$E$2:E413,E413,$G$2:G413,G413)=1),1,0),0)</f>
        <v>0</v>
      </c>
    </row>
    <row r="414" customFormat="false" ht="15" hidden="false" customHeight="false" outlineLevel="0" collapsed="false">
      <c r="A414" s="12" t="s">
        <v>246</v>
      </c>
      <c r="B414" s="13" t="n">
        <v>46201</v>
      </c>
      <c r="C414" s="12" t="str">
        <f aca="false">IF(A414="","",IFERROR(INDEX(Events!$D$2:$D$67,MATCH(A414,Events!$A$2:$A$67,0)),"Unknown event ID"))</f>
        <v>Polish Road Championships (ITT + road race)</v>
      </c>
      <c r="D414" s="12" t="s">
        <v>367</v>
      </c>
      <c r="E414" s="12" t="s">
        <v>100</v>
      </c>
      <c r="F414" s="12" t="s">
        <v>106</v>
      </c>
      <c r="G414" s="12" t="n">
        <v>6</v>
      </c>
      <c r="H414" s="12" t="s">
        <v>366</v>
      </c>
      <c r="I414" s="12"/>
      <c r="J414" s="12" t="s">
        <v>108</v>
      </c>
      <c r="K414" s="12" t="str">
        <f aca="false">IF(A414="","",IFERROR(IF(INDEX(Events!$J$2:$J$67,MATCH(A414,Events!$A$2:$A$67,0))="Yes",IF(ISNUMBER(SEARCH("Criterium final",D414)),"No","Yes"),"No"),""))</f>
        <v>Yes</v>
      </c>
      <c r="L414" s="12"/>
      <c r="M414" s="12" t="n">
        <f aca="false">IF(OR(A414="",F414=""),0,IF(COUNTIFS($A$2:A414,A414,$F$2:F414,F414)=1,1,0))</f>
        <v>0</v>
      </c>
      <c r="N414" s="12" t="str">
        <f aca="false">IF(A414="","",IFERROR(INDEX(Events!$F$2:$F$67,MATCH(A414,Events!$A$2:$A$67,0)),""))</f>
        <v>POL</v>
      </c>
      <c r="O414" s="12" t="n">
        <f aca="false">IF(AND(G414=1,K414="Yes",N414="POL"),IF(COUNTIFS($A$2:A414,A414,$D$2:D414,D414,$E$2:E414,E414,$G$2:G414,1)=1,1,0),0)</f>
        <v>0</v>
      </c>
      <c r="P414" s="12" t="n">
        <f aca="false">IF(AND(ISNUMBER(G414),K414="Yes",N414="POL"),IF(AND(G414&gt;=1,G414&lt;=3,COUNTIFS($A$2:A414,A414,$D$2:D414,D414,$E$2:E414,E414,$G$2:G414,G414)=1),1,0),0)</f>
        <v>0</v>
      </c>
    </row>
    <row r="415" customFormat="false" ht="15" hidden="false" customHeight="false" outlineLevel="0" collapsed="false">
      <c r="A415" s="12" t="s">
        <v>249</v>
      </c>
      <c r="B415" s="13" t="n">
        <v>46210</v>
      </c>
      <c r="C415" s="12" t="str">
        <f aca="false">IF(A415="","",IFERROR(INDEX(Events!$D$2:$D$67,MATCH(A415,Events!$A$2:$A$67,0)),"Unknown event ID"))</f>
        <v>UEC Track Junior &amp; U23 European Championships</v>
      </c>
      <c r="D415" s="12" t="s">
        <v>404</v>
      </c>
      <c r="E415" s="12" t="s">
        <v>99</v>
      </c>
      <c r="F415" s="12" t="s">
        <v>106</v>
      </c>
      <c r="G415" s="12" t="n">
        <v>18</v>
      </c>
      <c r="H415" s="12" t="s">
        <v>366</v>
      </c>
      <c r="I415" s="12"/>
      <c r="J415" s="12" t="s">
        <v>410</v>
      </c>
      <c r="K415" s="12" t="str">
        <f aca="false">IF(A415="","",IFERROR(IF(INDEX(Events!$J$2:$J$67,MATCH(A415,Events!$A$2:$A$67,0))="Yes",IF(ISNUMBER(SEARCH("Criterium final",D415)),"No","Yes"),"No"),""))</f>
        <v>No</v>
      </c>
      <c r="L415" s="12"/>
      <c r="M415" s="12" t="n">
        <f aca="false">IF(OR(A415="",F415=""),0,IF(COUNTIFS($A$2:A415,A415,$F$2:F415,F415)=1,1,0))</f>
        <v>1</v>
      </c>
      <c r="N415" s="12" t="str">
        <f aca="false">IF(A415="","",IFERROR(INDEX(Events!$F$2:$F$67,MATCH(A415,Events!$A$2:$A$67,0)),""))</f>
        <v>GER</v>
      </c>
      <c r="O415" s="12" t="n">
        <f aca="false">IF(AND(G415=1,K415="Yes",N415="POL"),IF(COUNTIFS($A$2:A415,A415,$D$2:D415,D415,$E$2:E415,E415,$G$2:G415,1)=1,1,0),0)</f>
        <v>0</v>
      </c>
      <c r="P415" s="12" t="n">
        <f aca="false">IF(AND(ISNUMBER(G415),K415="Yes",N415="POL"),IF(AND(G415&gt;=1,G415&lt;=3,COUNTIFS($A$2:A415,A415,$D$2:D415,D415,$E$2:E415,E415,$G$2:G415,G415)=1),1,0),0)</f>
        <v>0</v>
      </c>
    </row>
    <row r="416" customFormat="false" ht="15" hidden="false" customHeight="false" outlineLevel="0" collapsed="false">
      <c r="A416" s="12" t="s">
        <v>249</v>
      </c>
      <c r="B416" s="13" t="n">
        <v>46211</v>
      </c>
      <c r="C416" s="12" t="str">
        <f aca="false">IF(A416="","",IFERROR(INDEX(Events!$D$2:$D$67,MATCH(A416,Events!$A$2:$A$67,0)),"Unknown event ID"))</f>
        <v>UEC Track Junior &amp; U23 European Championships</v>
      </c>
      <c r="D416" s="12" t="s">
        <v>369</v>
      </c>
      <c r="E416" s="12" t="s">
        <v>99</v>
      </c>
      <c r="F416" s="12" t="s">
        <v>106</v>
      </c>
      <c r="G416" s="12" t="n">
        <v>6</v>
      </c>
      <c r="H416" s="12" t="s">
        <v>366</v>
      </c>
      <c r="I416" s="12" t="s">
        <v>489</v>
      </c>
      <c r="J416" s="12" t="s">
        <v>490</v>
      </c>
      <c r="K416" s="12" t="str">
        <f aca="false">IF(A416="","",IFERROR(IF(INDEX(Events!$J$2:$J$67,MATCH(A416,Events!$A$2:$A$67,0))="Yes",IF(ISNUMBER(SEARCH("Criterium final",D416)),"No","Yes"),"No"),""))</f>
        <v>No</v>
      </c>
      <c r="L416" s="12"/>
      <c r="M416" s="12" t="n">
        <f aca="false">IF(OR(A416="",F416=""),0,IF(COUNTIFS($A$2:A416,A416,$F$2:F416,F416)=1,1,0))</f>
        <v>0</v>
      </c>
      <c r="N416" s="12" t="str">
        <f aca="false">IF(A416="","",IFERROR(INDEX(Events!$F$2:$F$67,MATCH(A416,Events!$A$2:$A$67,0)),""))</f>
        <v>GER</v>
      </c>
      <c r="O416" s="12" t="n">
        <f aca="false">IF(AND(G416=1,K416="Yes",N416="POL"),IF(COUNTIFS($A$2:A416,A416,$D$2:D416,D416,$E$2:E416,E416,$G$2:G416,1)=1,1,0),0)</f>
        <v>0</v>
      </c>
      <c r="P416" s="12" t="n">
        <f aca="false">IF(AND(ISNUMBER(G416),K416="Yes",N416="POL"),IF(AND(G416&gt;=1,G416&lt;=3,COUNTIFS($A$2:A416,A416,$D$2:D416,D416,$E$2:E416,E416,$G$2:G416,G416)=1),1,0),0)</f>
        <v>0</v>
      </c>
    </row>
    <row r="417" customFormat="false" ht="15" hidden="false" customHeight="false" outlineLevel="0" collapsed="false">
      <c r="A417" s="12" t="s">
        <v>249</v>
      </c>
      <c r="B417" s="13" t="n">
        <v>46213</v>
      </c>
      <c r="C417" s="12" t="str">
        <f aca="false">IF(A417="","",IFERROR(INDEX(Events!$D$2:$D$67,MATCH(A417,Events!$A$2:$A$67,0)),"Unknown event ID"))</f>
        <v>UEC Track Junior &amp; U23 European Championships</v>
      </c>
      <c r="D417" s="12" t="s">
        <v>371</v>
      </c>
      <c r="E417" s="12" t="s">
        <v>99</v>
      </c>
      <c r="F417" s="12" t="s">
        <v>106</v>
      </c>
      <c r="G417" s="12" t="n">
        <v>16</v>
      </c>
      <c r="H417" s="12" t="s">
        <v>366</v>
      </c>
      <c r="I417" s="12"/>
      <c r="J417" s="12" t="s">
        <v>455</v>
      </c>
      <c r="K417" s="12" t="str">
        <f aca="false">IF(A417="","",IFERROR(IF(INDEX(Events!$J$2:$J$67,MATCH(A417,Events!$A$2:$A$67,0))="Yes",IF(ISNUMBER(SEARCH("Criterium final",D417)),"No","Yes"),"No"),""))</f>
        <v>No</v>
      </c>
      <c r="L417" s="12"/>
      <c r="M417" s="12" t="n">
        <f aca="false">IF(OR(A417="",F417=""),0,IF(COUNTIFS($A$2:A417,A417,$F$2:F417,F417)=1,1,0))</f>
        <v>0</v>
      </c>
      <c r="N417" s="12" t="str">
        <f aca="false">IF(A417="","",IFERROR(INDEX(Events!$F$2:$F$67,MATCH(A417,Events!$A$2:$A$67,0)),""))</f>
        <v>GER</v>
      </c>
      <c r="O417" s="12" t="n">
        <f aca="false">IF(AND(G417=1,K417="Yes",N417="POL"),IF(COUNTIFS($A$2:A417,A417,$D$2:D417,D417,$E$2:E417,E417,$G$2:G417,1)=1,1,0),0)</f>
        <v>0</v>
      </c>
      <c r="P417" s="12" t="n">
        <f aca="false">IF(AND(ISNUMBER(G417),K417="Yes",N417="POL"),IF(AND(G417&gt;=1,G417&lt;=3,COUNTIFS($A$2:A417,A417,$D$2:D417,D417,$E$2:E417,E417,$G$2:G417,G417)=1),1,0),0)</f>
        <v>0</v>
      </c>
    </row>
    <row r="418" customFormat="false" ht="15" hidden="false" customHeight="false" outlineLevel="0" collapsed="false">
      <c r="A418" s="12" t="s">
        <v>249</v>
      </c>
      <c r="B418" s="13" t="n">
        <v>46215</v>
      </c>
      <c r="C418" s="12" t="str">
        <f aca="false">IF(A418="","",IFERROR(INDEX(Events!$D$2:$D$67,MATCH(A418,Events!$A$2:$A$67,0)),"Unknown event ID"))</f>
        <v>UEC Track Junior &amp; U23 European Championships</v>
      </c>
      <c r="D418" s="12" t="s">
        <v>370</v>
      </c>
      <c r="E418" s="12" t="s">
        <v>99</v>
      </c>
      <c r="F418" s="12" t="s">
        <v>106</v>
      </c>
      <c r="G418" s="12" t="n">
        <v>12</v>
      </c>
      <c r="H418" s="12" t="s">
        <v>366</v>
      </c>
      <c r="I418" s="12" t="s">
        <v>491</v>
      </c>
      <c r="J418" s="12" t="s">
        <v>412</v>
      </c>
      <c r="K418" s="12" t="str">
        <f aca="false">IF(A418="","",IFERROR(IF(INDEX(Events!$J$2:$J$67,MATCH(A418,Events!$A$2:$A$67,0))="Yes",IF(ISNUMBER(SEARCH("Criterium final",D418)),"No","Yes"),"No"),""))</f>
        <v>No</v>
      </c>
      <c r="L418" s="12"/>
      <c r="M418" s="12" t="n">
        <f aca="false">IF(OR(A418="",F418=""),0,IF(COUNTIFS($A$2:A418,A418,$F$2:F418,F418)=1,1,0))</f>
        <v>0</v>
      </c>
      <c r="N418" s="12" t="str">
        <f aca="false">IF(A418="","",IFERROR(INDEX(Events!$F$2:$F$67,MATCH(A418,Events!$A$2:$A$67,0)),""))</f>
        <v>GER</v>
      </c>
      <c r="O418" s="12" t="n">
        <f aca="false">IF(AND(G418=1,K418="Yes",N418="POL"),IF(COUNTIFS($A$2:A418,A418,$D$2:D418,D418,$E$2:E418,E418,$G$2:G418,1)=1,1,0),0)</f>
        <v>0</v>
      </c>
      <c r="P418" s="12" t="n">
        <f aca="false">IF(AND(ISNUMBER(G418),K418="Yes",N418="POL"),IF(AND(G418&gt;=1,G418&lt;=3,COUNTIFS($A$2:A418,A418,$D$2:D418,D418,$E$2:E418,E418,$G$2:G418,G418)=1),1,0),0)</f>
        <v>0</v>
      </c>
    </row>
    <row r="419" customFormat="false" ht="15" hidden="false" customHeight="false" outlineLevel="0" collapsed="false">
      <c r="A419" s="12" t="s">
        <v>259</v>
      </c>
      <c r="B419" s="13" t="n">
        <v>46227</v>
      </c>
      <c r="C419" s="12" t="str">
        <f aca="false">IF(A419="","",IFERROR(INDEX(Events!$D$2:$D$67,MATCH(A419,Events!$A$2:$A$67,0)),"Unknown event ID"))</f>
        <v>Watersley Ladies Challenge</v>
      </c>
      <c r="D419" s="12" t="s">
        <v>377</v>
      </c>
      <c r="E419" s="12" t="s">
        <v>99</v>
      </c>
      <c r="F419" s="12" t="s">
        <v>106</v>
      </c>
      <c r="G419" s="12" t="n">
        <v>36</v>
      </c>
      <c r="H419" s="12" t="s">
        <v>366</v>
      </c>
      <c r="I419" s="12"/>
      <c r="J419" s="12" t="s">
        <v>108</v>
      </c>
      <c r="K419" s="12" t="str">
        <f aca="false">IF(A419="","",IFERROR(IF(INDEX(Events!$J$2:$J$67,MATCH(A419,Events!$A$2:$A$67,0))="Yes",IF(ISNUMBER(SEARCH("Criterium final",D419)),"No","Yes"),"No"),""))</f>
        <v>No</v>
      </c>
      <c r="L419" s="12"/>
      <c r="M419" s="12" t="n">
        <f aca="false">IF(OR(A419="",F419=""),0,IF(COUNTIFS($A$2:A419,A419,$F$2:F419,F419)=1,1,0))</f>
        <v>1</v>
      </c>
      <c r="N419" s="12" t="str">
        <f aca="false">IF(A419="","",IFERROR(INDEX(Events!$F$2:$F$67,MATCH(A419,Events!$A$2:$A$67,0)),""))</f>
        <v>NED</v>
      </c>
      <c r="O419" s="12" t="n">
        <f aca="false">IF(AND(G419=1,K419="Yes",N419="POL"),IF(COUNTIFS($A$2:A419,A419,$D$2:D419,D419,$E$2:E419,E419,$G$2:G419,1)=1,1,0),0)</f>
        <v>0</v>
      </c>
      <c r="P419" s="12" t="n">
        <f aca="false">IF(AND(ISNUMBER(G419),K419="Yes",N419="POL"),IF(AND(G419&gt;=1,G419&lt;=3,COUNTIFS($A$2:A419,A419,$D$2:D419,D419,$E$2:E419,E419,$G$2:G419,G419)=1),1,0),0)</f>
        <v>0</v>
      </c>
    </row>
    <row r="420" customFormat="false" ht="15" hidden="false" customHeight="false" outlineLevel="0" collapsed="false">
      <c r="A420" s="12" t="s">
        <v>259</v>
      </c>
      <c r="B420" s="13" t="n">
        <v>46228</v>
      </c>
      <c r="C420" s="12" t="str">
        <f aca="false">IF(A420="","",IFERROR(INDEX(Events!$D$2:$D$67,MATCH(A420,Events!$A$2:$A$67,0)),"Unknown event ID"))</f>
        <v>Watersley Ladies Challenge</v>
      </c>
      <c r="D420" s="12" t="s">
        <v>373</v>
      </c>
      <c r="E420" s="12" t="s">
        <v>99</v>
      </c>
      <c r="F420" s="12" t="s">
        <v>106</v>
      </c>
      <c r="G420" s="12" t="n">
        <v>55</v>
      </c>
      <c r="H420" s="12" t="s">
        <v>366</v>
      </c>
      <c r="I420" s="12"/>
      <c r="J420" s="12" t="s">
        <v>108</v>
      </c>
      <c r="K420" s="12" t="str">
        <f aca="false">IF(A420="","",IFERROR(IF(INDEX(Events!$J$2:$J$67,MATCH(A420,Events!$A$2:$A$67,0))="Yes",IF(ISNUMBER(SEARCH("Criterium final",D420)),"No","Yes"),"No"),""))</f>
        <v>No</v>
      </c>
      <c r="L420" s="12"/>
      <c r="M420" s="12" t="n">
        <f aca="false">IF(OR(A420="",F420=""),0,IF(COUNTIFS($A$2:A420,A420,$F$2:F420,F420)=1,1,0))</f>
        <v>0</v>
      </c>
      <c r="N420" s="12" t="str">
        <f aca="false">IF(A420="","",IFERROR(INDEX(Events!$F$2:$F$67,MATCH(A420,Events!$A$2:$A$67,0)),""))</f>
        <v>NED</v>
      </c>
      <c r="O420" s="12" t="n">
        <f aca="false">IF(AND(G420=1,K420="Yes",N420="POL"),IF(COUNTIFS($A$2:A420,A420,$D$2:D420,D420,$E$2:E420,E420,$G$2:G420,1)=1,1,0),0)</f>
        <v>0</v>
      </c>
      <c r="P420" s="12" t="n">
        <f aca="false">IF(AND(ISNUMBER(G420),K420="Yes",N420="POL"),IF(AND(G420&gt;=1,G420&lt;=3,COUNTIFS($A$2:A420,A420,$D$2:D420,D420,$E$2:E420,E420,$G$2:G420,G420)=1),1,0),0)</f>
        <v>0</v>
      </c>
    </row>
    <row r="421" customFormat="false" ht="15" hidden="false" customHeight="false" outlineLevel="0" collapsed="false">
      <c r="A421" s="12" t="s">
        <v>259</v>
      </c>
      <c r="B421" s="13" t="n">
        <v>46229</v>
      </c>
      <c r="C421" s="12" t="str">
        <f aca="false">IF(A421="","",IFERROR(INDEX(Events!$D$2:$D$67,MATCH(A421,Events!$A$2:$A$67,0)),"Unknown event ID"))</f>
        <v>Watersley Ladies Challenge</v>
      </c>
      <c r="D421" s="12" t="s">
        <v>374</v>
      </c>
      <c r="E421" s="12" t="s">
        <v>99</v>
      </c>
      <c r="F421" s="12" t="s">
        <v>106</v>
      </c>
      <c r="G421" s="12" t="n">
        <v>41</v>
      </c>
      <c r="H421" s="12" t="s">
        <v>366</v>
      </c>
      <c r="I421" s="12"/>
      <c r="J421" s="12" t="s">
        <v>108</v>
      </c>
      <c r="K421" s="12" t="str">
        <f aca="false">IF(A421="","",IFERROR(IF(INDEX(Events!$J$2:$J$67,MATCH(A421,Events!$A$2:$A$67,0))="Yes",IF(ISNUMBER(SEARCH("Criterium final",D421)),"No","Yes"),"No"),""))</f>
        <v>No</v>
      </c>
      <c r="L421" s="12"/>
      <c r="M421" s="12" t="n">
        <f aca="false">IF(OR(A421="",F421=""),0,IF(COUNTIFS($A$2:A421,A421,$F$2:F421,F421)=1,1,0))</f>
        <v>0</v>
      </c>
      <c r="N421" s="12" t="str">
        <f aca="false">IF(A421="","",IFERROR(INDEX(Events!$F$2:$F$67,MATCH(A421,Events!$A$2:$A$67,0)),""))</f>
        <v>NED</v>
      </c>
      <c r="O421" s="12" t="n">
        <f aca="false">IF(AND(G421=1,K421="Yes",N421="POL"),IF(COUNTIFS($A$2:A421,A421,$D$2:D421,D421,$E$2:E421,E421,$G$2:G421,1)=1,1,0),0)</f>
        <v>0</v>
      </c>
      <c r="P421" s="12" t="n">
        <f aca="false">IF(AND(ISNUMBER(G421),K421="Yes",N421="POL"),IF(AND(G421&gt;=1,G421&lt;=3,COUNTIFS($A$2:A421,A421,$D$2:D421,D421,$E$2:E421,E421,$G$2:G421,G421)=1),1,0),0)</f>
        <v>0</v>
      </c>
    </row>
    <row r="422" customFormat="false" ht="15" hidden="false" customHeight="false" outlineLevel="0" collapsed="false">
      <c r="A422" s="12" t="s">
        <v>259</v>
      </c>
      <c r="B422" s="13" t="n">
        <v>46229</v>
      </c>
      <c r="C422" s="12" t="str">
        <f aca="false">IF(A422="","",IFERROR(INDEX(Events!$D$2:$D$67,MATCH(A422,Events!$A$2:$A$67,0)),"Unknown event ID"))</f>
        <v>Watersley Ladies Challenge</v>
      </c>
      <c r="D422" s="12" t="s">
        <v>376</v>
      </c>
      <c r="E422" s="12" t="s">
        <v>99</v>
      </c>
      <c r="F422" s="12" t="s">
        <v>106</v>
      </c>
      <c r="G422" s="12" t="n">
        <v>46</v>
      </c>
      <c r="H422" s="12" t="s">
        <v>366</v>
      </c>
      <c r="I422" s="12"/>
      <c r="J422" s="12" t="s">
        <v>108</v>
      </c>
      <c r="K422" s="12" t="str">
        <f aca="false">IF(A422="","",IFERROR(IF(INDEX(Events!$J$2:$J$67,MATCH(A422,Events!$A$2:$A$67,0))="Yes",IF(ISNUMBER(SEARCH("Criterium final",D422)),"No","Yes"),"No"),""))</f>
        <v>No</v>
      </c>
      <c r="L422" s="12"/>
      <c r="M422" s="12" t="n">
        <f aca="false">IF(OR(A422="",F422=""),0,IF(COUNTIFS($A$2:A422,A422,$F$2:F422,F422)=1,1,0))</f>
        <v>0</v>
      </c>
      <c r="N422" s="12" t="str">
        <f aca="false">IF(A422="","",IFERROR(INDEX(Events!$F$2:$F$67,MATCH(A422,Events!$A$2:$A$67,0)),""))</f>
        <v>NED</v>
      </c>
      <c r="O422" s="12" t="n">
        <f aca="false">IF(AND(G422=1,K422="Yes",N422="POL"),IF(COUNTIFS($A$2:A422,A422,$D$2:D422,D422,$E$2:E422,E422,$G$2:G422,1)=1,1,0),0)</f>
        <v>0</v>
      </c>
      <c r="P422" s="12" t="n">
        <f aca="false">IF(AND(ISNUMBER(G422),K422="Yes",N422="POL"),IF(AND(G422&gt;=1,G422&lt;=3,COUNTIFS($A$2:A422,A422,$D$2:D422,D422,$E$2:E422,E422,$G$2:G422,G422)=1),1,0),0)</f>
        <v>0</v>
      </c>
    </row>
    <row r="423" customFormat="false" ht="15" hidden="false" customHeight="false" outlineLevel="0" collapsed="false">
      <c r="A423" s="12" t="s">
        <v>262</v>
      </c>
      <c r="B423" s="13" t="n">
        <v>46242</v>
      </c>
      <c r="C423" s="12" t="str">
        <f aca="false">IF(A423="","",IFERROR(INDEX(Events!$D$2:$D$67,MATCH(A423,Events!$A$2:$A$67,0)),"Unknown event ID"))</f>
        <v>Criterium Grudziądz (Puchar Prezydenta Grudziądza)</v>
      </c>
      <c r="D423" s="12" t="s">
        <v>433</v>
      </c>
      <c r="E423" s="12" t="s">
        <v>99</v>
      </c>
      <c r="F423" s="12" t="s">
        <v>106</v>
      </c>
      <c r="G423" s="12" t="n">
        <v>3</v>
      </c>
      <c r="H423" s="12" t="s">
        <v>366</v>
      </c>
      <c r="I423" s="12"/>
      <c r="J423" s="12" t="s">
        <v>444</v>
      </c>
      <c r="K423" s="12" t="str">
        <f aca="false">IF(A423="","",IFERROR(IF(INDEX(Events!$J$2:$J$67,MATCH(A423,Events!$A$2:$A$67,0))="Yes",IF(ISNUMBER(SEARCH("Criterium final",D423)),"No","Yes"),"No"),""))</f>
        <v>No</v>
      </c>
      <c r="L423" s="12"/>
      <c r="M423" s="12" t="n">
        <f aca="false">IF(OR(A423="",F423=""),0,IF(COUNTIFS($A$2:A423,A423,$F$2:F423,F423)=1,1,0))</f>
        <v>1</v>
      </c>
      <c r="N423" s="12" t="str">
        <f aca="false">IF(A423="","",IFERROR(INDEX(Events!$F$2:$F$67,MATCH(A423,Events!$A$2:$A$67,0)),""))</f>
        <v>POL</v>
      </c>
      <c r="O423" s="12" t="n">
        <f aca="false">IF(AND(G423=1,K423="Yes",N423="POL"),IF(COUNTIFS($A$2:A423,A423,$D$2:D423,D423,$E$2:E423,E423,$G$2:G423,1)=1,1,0),0)</f>
        <v>0</v>
      </c>
      <c r="P423" s="12" t="n">
        <f aca="false">IF(AND(ISNUMBER(G423),K423="Yes",N423="POL"),IF(AND(G423&gt;=1,G423&lt;=3,COUNTIFS($A$2:A423,A423,$D$2:D423,D423,$E$2:E423,E423,$G$2:G423,G423)=1),1,0),0)</f>
        <v>0</v>
      </c>
    </row>
    <row r="424" customFormat="false" ht="15" hidden="false" customHeight="false" outlineLevel="0" collapsed="false">
      <c r="A424" s="12" t="s">
        <v>266</v>
      </c>
      <c r="B424" s="13" t="n">
        <v>46243</v>
      </c>
      <c r="C424" s="12" t="str">
        <f aca="false">IF(A424="","",IFERROR(INDEX(Events!$D$2:$D$67,MATCH(A424,Events!$A$2:$A$67,0)),"Unknown event ID"))</f>
        <v>Kryterium Uliczne – Nagroda Gruczna</v>
      </c>
      <c r="D424" s="12" t="s">
        <v>433</v>
      </c>
      <c r="E424" s="12" t="s">
        <v>99</v>
      </c>
      <c r="F424" s="12" t="s">
        <v>106</v>
      </c>
      <c r="G424" s="12" t="n">
        <v>3</v>
      </c>
      <c r="H424" s="12" t="s">
        <v>366</v>
      </c>
      <c r="I424" s="12"/>
      <c r="J424" s="12" t="s">
        <v>445</v>
      </c>
      <c r="K424" s="12" t="str">
        <f aca="false">IF(A424="","",IFERROR(IF(INDEX(Events!$J$2:$J$67,MATCH(A424,Events!$A$2:$A$67,0))="Yes",IF(ISNUMBER(SEARCH("Criterium final",D424)),"No","Yes"),"No"),""))</f>
        <v>No</v>
      </c>
      <c r="L424" s="12"/>
      <c r="M424" s="12" t="n">
        <f aca="false">IF(OR(A424="",F424=""),0,IF(COUNTIFS($A$2:A424,A424,$F$2:F424,F424)=1,1,0))</f>
        <v>1</v>
      </c>
      <c r="N424" s="12" t="str">
        <f aca="false">IF(A424="","",IFERROR(INDEX(Events!$F$2:$F$67,MATCH(A424,Events!$A$2:$A$67,0)),""))</f>
        <v>POL</v>
      </c>
      <c r="O424" s="12" t="n">
        <f aca="false">IF(AND(G424=1,K424="Yes",N424="POL"),IF(COUNTIFS($A$2:A424,A424,$D$2:D424,D424,$E$2:E424,E424,$G$2:G424,1)=1,1,0),0)</f>
        <v>0</v>
      </c>
      <c r="P424" s="12" t="n">
        <f aca="false">IF(AND(ISNUMBER(G424),K424="Yes",N424="POL"),IF(AND(G424&gt;=1,G424&lt;=3,COUNTIFS($A$2:A424,A424,$D$2:D424,D424,$E$2:E424,E424,$G$2:G424,G424)=1),1,0),0)</f>
        <v>0</v>
      </c>
    </row>
    <row r="425" customFormat="false" ht="15" hidden="false" customHeight="false" outlineLevel="0" collapsed="false">
      <c r="A425" s="12" t="s">
        <v>336</v>
      </c>
      <c r="B425" s="13" t="n">
        <v>46253</v>
      </c>
      <c r="C425" s="12" t="str">
        <f aca="false">IF(A425="","",IFERROR(INDEX(Events!$D$2:$D$67,MATCH(A425,Events!$A$2:$A$67,0)),"Unknown event ID"))</f>
        <v>UCI Junior Track World Championships</v>
      </c>
      <c r="D425" s="12" t="s">
        <v>404</v>
      </c>
      <c r="E425" s="12" t="s">
        <v>99</v>
      </c>
      <c r="F425" s="12" t="s">
        <v>106</v>
      </c>
      <c r="G425" s="12" t="n">
        <v>24</v>
      </c>
      <c r="H425" s="12" t="s">
        <v>366</v>
      </c>
      <c r="I425" s="12"/>
      <c r="J425" s="12" t="s">
        <v>108</v>
      </c>
      <c r="K425" s="12" t="str">
        <f aca="false">IF(A425="","",IFERROR(IF(INDEX(Events!$J$2:$J$67,MATCH(A425,Events!$A$2:$A$67,0))="Yes",IF(ISNUMBER(SEARCH("Criterium final",D425)),"No","Yes"),"No"),""))</f>
        <v>No</v>
      </c>
      <c r="L425" s="12"/>
      <c r="M425" s="12" t="n">
        <f aca="false">IF(OR(A425="",F425=""),0,IF(COUNTIFS($A$2:A425,A425,$F$2:F425,F425)=1,1,0))</f>
        <v>1</v>
      </c>
      <c r="N425" s="12" t="n">
        <f aca="false">IF(A425="","",IFERROR(INDEX(Events!$F$2:$F$67,MATCH(A425,Events!$A$2:$A$67,0)),""))</f>
        <v>0</v>
      </c>
      <c r="O425" s="12" t="n">
        <f aca="false">IF(AND(G425=1,K425="Yes",N425="POL"),IF(COUNTIFS($A$2:A425,A425,$D$2:D425,D425,$E$2:E425,E425,$G$2:G425,1)=1,1,0),0)</f>
        <v>0</v>
      </c>
      <c r="P425" s="12" t="n">
        <f aca="false">IF(AND(ISNUMBER(G425),K425="Yes",N425="POL"),IF(AND(G425&gt;=1,G425&lt;=3,COUNTIFS($A$2:A425,A425,$D$2:D425,D425,$E$2:E425,E425,$G$2:G425,G425)=1),1,0),0)</f>
        <v>0</v>
      </c>
    </row>
    <row r="426" customFormat="false" ht="15" hidden="false" customHeight="false" outlineLevel="0" collapsed="false">
      <c r="A426" s="12" t="s">
        <v>336</v>
      </c>
      <c r="B426" s="13" t="n">
        <v>46255</v>
      </c>
      <c r="C426" s="12" t="str">
        <f aca="false">IF(A426="","",IFERROR(INDEX(Events!$D$2:$D$67,MATCH(A426,Events!$A$2:$A$67,0)),"Unknown event ID"))</f>
        <v>UCI Junior Track World Championships</v>
      </c>
      <c r="D426" s="12" t="s">
        <v>371</v>
      </c>
      <c r="E426" s="12" t="s">
        <v>99</v>
      </c>
      <c r="F426" s="12" t="s">
        <v>106</v>
      </c>
      <c r="G426" s="12" t="n">
        <v>20</v>
      </c>
      <c r="H426" s="12" t="s">
        <v>366</v>
      </c>
      <c r="I426" s="12"/>
      <c r="J426" s="12" t="s">
        <v>108</v>
      </c>
      <c r="K426" s="12" t="str">
        <f aca="false">IF(A426="","",IFERROR(IF(INDEX(Events!$J$2:$J$67,MATCH(A426,Events!$A$2:$A$67,0))="Yes",IF(ISNUMBER(SEARCH("Criterium final",D426)),"No","Yes"),"No"),""))</f>
        <v>No</v>
      </c>
      <c r="L426" s="12"/>
      <c r="M426" s="12" t="n">
        <f aca="false">IF(OR(A426="",F426=""),0,IF(COUNTIFS($A$2:A426,A426,$F$2:F426,F426)=1,1,0))</f>
        <v>0</v>
      </c>
      <c r="N426" s="12" t="n">
        <f aca="false">IF(A426="","",IFERROR(INDEX(Events!$F$2:$F$67,MATCH(A426,Events!$A$2:$A$67,0)),""))</f>
        <v>0</v>
      </c>
      <c r="O426" s="12" t="n">
        <f aca="false">IF(AND(G426=1,K426="Yes",N426="POL"),IF(COUNTIFS($A$2:A426,A426,$D$2:D426,D426,$E$2:E426,E426,$G$2:G426,1)=1,1,0),0)</f>
        <v>0</v>
      </c>
      <c r="P426" s="12" t="n">
        <f aca="false">IF(AND(ISNUMBER(G426),K426="Yes",N426="POL"),IF(AND(G426&gt;=1,G426&lt;=3,COUNTIFS($A$2:A426,A426,$D$2:D426,D426,$E$2:E426,E426,$G$2:G426,G426)=1),1,0),0)</f>
        <v>0</v>
      </c>
    </row>
    <row r="427" customFormat="false" ht="15" hidden="false" customHeight="false" outlineLevel="0" collapsed="false">
      <c r="A427" s="12" t="s">
        <v>336</v>
      </c>
      <c r="B427" s="13" t="n">
        <v>46256</v>
      </c>
      <c r="C427" s="12" t="str">
        <f aca="false">IF(A427="","",IFERROR(INDEX(Events!$D$2:$D$67,MATCH(A427,Events!$A$2:$A$67,0)),"Unknown event ID"))</f>
        <v>UCI Junior Track World Championships</v>
      </c>
      <c r="D427" s="12" t="s">
        <v>384</v>
      </c>
      <c r="E427" s="12" t="s">
        <v>99</v>
      </c>
      <c r="F427" s="12" t="s">
        <v>106</v>
      </c>
      <c r="G427" s="12" t="n">
        <v>15</v>
      </c>
      <c r="H427" s="12" t="s">
        <v>366</v>
      </c>
      <c r="I427" s="12"/>
      <c r="J427" s="12" t="s">
        <v>108</v>
      </c>
      <c r="K427" s="12" t="str">
        <f aca="false">IF(A427="","",IFERROR(IF(INDEX(Events!$J$2:$J$67,MATCH(A427,Events!$A$2:$A$67,0))="Yes",IF(ISNUMBER(SEARCH("Criterium final",D427)),"No","Yes"),"No"),""))</f>
        <v>No</v>
      </c>
      <c r="L427" s="12"/>
      <c r="M427" s="12" t="n">
        <f aca="false">IF(OR(A427="",F427=""),0,IF(COUNTIFS($A$2:A427,A427,$F$2:F427,F427)=1,1,0))</f>
        <v>0</v>
      </c>
      <c r="N427" s="12" t="n">
        <f aca="false">IF(A427="","",IFERROR(INDEX(Events!$F$2:$F$67,MATCH(A427,Events!$A$2:$A$67,0)),""))</f>
        <v>0</v>
      </c>
      <c r="O427" s="12" t="n">
        <f aca="false">IF(AND(G427=1,K427="Yes",N427="POL"),IF(COUNTIFS($A$2:A427,A427,$D$2:D427,D427,$E$2:E427,E427,$G$2:G427,1)=1,1,0),0)</f>
        <v>0</v>
      </c>
      <c r="P427" s="12" t="n">
        <f aca="false">IF(AND(ISNUMBER(G427),K427="Yes",N427="POL"),IF(AND(G427&gt;=1,G427&lt;=3,COUNTIFS($A$2:A427,A427,$D$2:D427,D427,$E$2:E427,E427,$G$2:G427,G427)=1),1,0),0)</f>
        <v>0</v>
      </c>
    </row>
    <row r="428" customFormat="false" ht="15" hidden="false" customHeight="false" outlineLevel="0" collapsed="false">
      <c r="A428" s="12" t="s">
        <v>289</v>
      </c>
      <c r="B428" s="13" t="n">
        <v>46277</v>
      </c>
      <c r="C428" s="12" t="str">
        <f aca="false">IF(A428="","",IFERROR(INDEX(Events!$D$2:$D$67,MATCH(A428,Events!$A$2:$A$67,0)),"Unknown event ID"))</f>
        <v>Polish Pairs &amp; Team Time Trial Championships</v>
      </c>
      <c r="D428" s="12" t="s">
        <v>405</v>
      </c>
      <c r="E428" s="12" t="s">
        <v>99</v>
      </c>
      <c r="F428" s="12" t="s">
        <v>106</v>
      </c>
      <c r="G428" s="12" t="n">
        <v>3</v>
      </c>
      <c r="H428" s="12" t="s">
        <v>366</v>
      </c>
      <c r="I428" s="12" t="s">
        <v>492</v>
      </c>
      <c r="J428" s="12" t="s">
        <v>406</v>
      </c>
      <c r="K428" s="12" t="str">
        <f aca="false">IF(A428="","",IFERROR(IF(INDEX(Events!$J$2:$J$67,MATCH(A428,Events!$A$2:$A$67,0))="Yes",IF(ISNUMBER(SEARCH("Criterium final",D428)),"No","Yes"),"No"),""))</f>
        <v>Yes</v>
      </c>
      <c r="L428" s="12"/>
      <c r="M428" s="12" t="n">
        <f aca="false">IF(OR(A428="",F428=""),0,IF(COUNTIFS($A$2:A428,A428,$F$2:F428,F428)=1,1,0))</f>
        <v>1</v>
      </c>
      <c r="N428" s="12" t="str">
        <f aca="false">IF(A428="","",IFERROR(INDEX(Events!$F$2:$F$67,MATCH(A428,Events!$A$2:$A$67,0)),""))</f>
        <v>POL</v>
      </c>
      <c r="O428" s="12" t="n">
        <f aca="false">IF(AND(G428=1,K428="Yes",N428="POL"),IF(COUNTIFS($A$2:A428,A428,$D$2:D428,D428,$E$2:E428,E428,$G$2:G428,1)=1,1,0),0)</f>
        <v>0</v>
      </c>
      <c r="P428" s="12" t="n">
        <f aca="false">IF(AND(ISNUMBER(G428),K428="Yes",N428="POL"),IF(AND(G428&gt;=1,G428&lt;=3,COUNTIFS($A$2:A428,A428,$D$2:D428,D428,$E$2:E428,E428,$G$2:G428,G428)=1),1,0),0)</f>
        <v>1</v>
      </c>
    </row>
    <row r="429" customFormat="false" ht="15" hidden="false" customHeight="false" outlineLevel="0" collapsed="false">
      <c r="A429" s="12" t="s">
        <v>289</v>
      </c>
      <c r="B429" s="13" t="n">
        <v>46278</v>
      </c>
      <c r="C429" s="12" t="str">
        <f aca="false">IF(A429="","",IFERROR(INDEX(Events!$D$2:$D$67,MATCH(A429,Events!$A$2:$A$67,0)),"Unknown event ID"))</f>
        <v>Polish Pairs &amp; Team Time Trial Championships</v>
      </c>
      <c r="D429" s="12" t="s">
        <v>407</v>
      </c>
      <c r="E429" s="12" t="s">
        <v>99</v>
      </c>
      <c r="F429" s="12" t="s">
        <v>106</v>
      </c>
      <c r="G429" s="12" t="n">
        <v>1</v>
      </c>
      <c r="H429" s="12" t="s">
        <v>366</v>
      </c>
      <c r="I429" s="12" t="s">
        <v>493</v>
      </c>
      <c r="J429" s="12" t="s">
        <v>409</v>
      </c>
      <c r="K429" s="12" t="str">
        <f aca="false">IF(A429="","",IFERROR(IF(INDEX(Events!$J$2:$J$67,MATCH(A429,Events!$A$2:$A$67,0))="Yes",IF(ISNUMBER(SEARCH("Criterium final",D429)),"No","Yes"),"No"),""))</f>
        <v>Yes</v>
      </c>
      <c r="L429" s="12"/>
      <c r="M429" s="12" t="n">
        <f aca="false">IF(OR(A429="",F429=""),0,IF(COUNTIFS($A$2:A429,A429,$F$2:F429,F429)=1,1,0))</f>
        <v>0</v>
      </c>
      <c r="N429" s="12" t="str">
        <f aca="false">IF(A429="","",IFERROR(INDEX(Events!$F$2:$F$67,MATCH(A429,Events!$A$2:$A$67,0)),""))</f>
        <v>POL</v>
      </c>
      <c r="O429" s="12" t="n">
        <f aca="false">IF(AND(G429=1,K429="Yes",N429="POL"),IF(COUNTIFS($A$2:A429,A429,$D$2:D429,D429,$E$2:E429,E429,$G$2:G429,1)=1,1,0),0)</f>
        <v>0</v>
      </c>
      <c r="P429" s="12" t="n">
        <f aca="false">IF(AND(ISNUMBER(G429),K429="Yes",N429="POL"),IF(AND(G429&gt;=1,G429&lt;=3,COUNTIFS($A$2:A429,A429,$D$2:D429,D429,$E$2:E429,E429,$G$2:G429,G429)=1),1,0),0)</f>
        <v>0</v>
      </c>
    </row>
    <row r="430" customFormat="false" ht="15" hidden="false" customHeight="false" outlineLevel="0" collapsed="false">
      <c r="A430" s="12" t="s">
        <v>296</v>
      </c>
      <c r="B430" s="13" t="n">
        <v>46285</v>
      </c>
      <c r="C430" s="12" t="str">
        <f aca="false">IF(A430="","",IFERROR(INDEX(Events!$D$2:$D$67,MATCH(A430,Events!$A$2:$A$67,0)),"Unknown event ID"))</f>
        <v>Memoriał im. Stanisława Szozdy – MP criterium final</v>
      </c>
      <c r="D430" s="12" t="s">
        <v>427</v>
      </c>
      <c r="E430" s="12" t="s">
        <v>99</v>
      </c>
      <c r="F430" s="12" t="s">
        <v>106</v>
      </c>
      <c r="G430" s="12" t="n">
        <v>2</v>
      </c>
      <c r="H430" s="12" t="s">
        <v>366</v>
      </c>
      <c r="I430" s="12"/>
      <c r="J430" s="12" t="s">
        <v>429</v>
      </c>
      <c r="K430" s="12" t="str">
        <f aca="false">IF(A430="","",IFERROR(IF(INDEX(Events!$J$2:$J$67,MATCH(A430,Events!$A$2:$A$67,0))="Yes",IF(ISNUMBER(SEARCH("Criterium final",D430)),"No","Yes"),"No"),""))</f>
        <v>No</v>
      </c>
      <c r="L430" s="12"/>
      <c r="M430" s="12" t="n">
        <f aca="false">IF(OR(A430="",F430=""),0,IF(COUNTIFS($A$2:A430,A430,$F$2:F430,F430)=1,1,0))</f>
        <v>1</v>
      </c>
      <c r="N430" s="12" t="str">
        <f aca="false">IF(A430="","",IFERROR(INDEX(Events!$F$2:$F$67,MATCH(A430,Events!$A$2:$A$67,0)),""))</f>
        <v>POL</v>
      </c>
      <c r="O430" s="12" t="n">
        <f aca="false">IF(AND(G430=1,K430="Yes",N430="POL"),IF(COUNTIFS($A$2:A430,A430,$D$2:D430,D430,$E$2:E430,E430,$G$2:G430,1)=1,1,0),0)</f>
        <v>0</v>
      </c>
      <c r="P430" s="12" t="n">
        <f aca="false">IF(AND(ISNUMBER(G430),K430="Yes",N430="POL"),IF(AND(G430&gt;=1,G430&lt;=3,COUNTIFS($A$2:A430,A430,$D$2:D430,D430,$E$2:E430,E430,$G$2:G430,G430)=1),1,0),0)</f>
        <v>0</v>
      </c>
    </row>
    <row r="431" customFormat="false" ht="15" hidden="false" customHeight="false" outlineLevel="0" collapsed="false">
      <c r="A431" s="12" t="s">
        <v>351</v>
      </c>
      <c r="B431" s="13" t="n">
        <v>46292</v>
      </c>
      <c r="C431" s="12" t="str">
        <f aca="false">IF(A431="","",IFERROR(INDEX(Events!$D$2:$D$67,MATCH(A431,Events!$A$2:$A$67,0)),"Unknown event ID"))</f>
        <v>Youth Polish Track Championships – non-Olympic events (MMP)</v>
      </c>
      <c r="D431" s="12" t="s">
        <v>494</v>
      </c>
      <c r="E431" s="12" t="s">
        <v>99</v>
      </c>
      <c r="F431" s="12" t="s">
        <v>106</v>
      </c>
      <c r="G431" s="12" t="n">
        <v>1</v>
      </c>
      <c r="H431" s="12" t="s">
        <v>366</v>
      </c>
      <c r="I431" s="12"/>
      <c r="J431" s="12" t="s">
        <v>431</v>
      </c>
      <c r="K431" s="12" t="str">
        <f aca="false">IF(A431="","",IFERROR(IF(INDEX(Events!$J$2:$J$67,MATCH(A431,Events!$A$2:$A$67,0))="Yes",IF(ISNUMBER(SEARCH("Criterium final",D431)),"No","Yes"),"No"),""))</f>
        <v>Yes</v>
      </c>
      <c r="L431" s="12"/>
      <c r="M431" s="12" t="n">
        <f aca="false">IF(OR(A431="",F431=""),0,IF(COUNTIFS($A$2:A431,A431,$F$2:F431,F431)=1,1,0))</f>
        <v>1</v>
      </c>
      <c r="N431" s="12" t="str">
        <f aca="false">IF(A431="","",IFERROR(INDEX(Events!$F$2:$F$67,MATCH(A431,Events!$A$2:$A$67,0)),""))</f>
        <v>POL</v>
      </c>
      <c r="O431" s="12" t="n">
        <f aca="false">IF(AND(G431=1,K431="Yes",N431="POL"),IF(COUNTIFS($A$2:A431,A431,$D$2:D431,D431,$E$2:E431,E431,$G$2:G431,1)=1,1,0),0)</f>
        <v>1</v>
      </c>
      <c r="P431" s="12" t="n">
        <f aca="false">IF(AND(ISNUMBER(G431),K431="Yes",N431="POL"),IF(AND(G431&gt;=1,G431&lt;=3,COUNTIFS($A$2:A431,A431,$D$2:D431,D431,$E$2:E431,E431,$G$2:G431,G431)=1),1,0),0)</f>
        <v>1</v>
      </c>
    </row>
    <row r="432" customFormat="false" ht="15" hidden="false" customHeight="false" outlineLevel="0" collapsed="false">
      <c r="A432" s="12" t="s">
        <v>351</v>
      </c>
      <c r="B432" s="13" t="n">
        <v>46292</v>
      </c>
      <c r="C432" s="12" t="str">
        <f aca="false">IF(A432="","",IFERROR(INDEX(Events!$D$2:$D$67,MATCH(A432,Events!$A$2:$A$67,0)),"Unknown event ID"))</f>
        <v>Youth Polish Track Championships – non-Olympic events (MMP)</v>
      </c>
      <c r="D432" s="12" t="s">
        <v>404</v>
      </c>
      <c r="E432" s="12" t="s">
        <v>99</v>
      </c>
      <c r="F432" s="12" t="s">
        <v>106</v>
      </c>
      <c r="G432" s="12" t="n">
        <v>1</v>
      </c>
      <c r="H432" s="12" t="s">
        <v>366</v>
      </c>
      <c r="I432" s="12"/>
      <c r="J432" s="12" t="s">
        <v>431</v>
      </c>
      <c r="K432" s="12" t="str">
        <f aca="false">IF(A432="","",IFERROR(IF(INDEX(Events!$J$2:$J$67,MATCH(A432,Events!$A$2:$A$67,0))="Yes",IF(ISNUMBER(SEARCH("Criterium final",D432)),"No","Yes"),"No"),""))</f>
        <v>Yes</v>
      </c>
      <c r="L432" s="12"/>
      <c r="M432" s="12" t="n">
        <f aca="false">IF(OR(A432="",F432=""),0,IF(COUNTIFS($A$2:A432,A432,$F$2:F432,F432)=1,1,0))</f>
        <v>0</v>
      </c>
      <c r="N432" s="12" t="str">
        <f aca="false">IF(A432="","",IFERROR(INDEX(Events!$F$2:$F$67,MATCH(A432,Events!$A$2:$A$67,0)),""))</f>
        <v>POL</v>
      </c>
      <c r="O432" s="12" t="n">
        <f aca="false">IF(AND(G432=1,K432="Yes",N432="POL"),IF(COUNTIFS($A$2:A432,A432,$D$2:D432,D432,$E$2:E432,E432,$G$2:G432,1)=1,1,0),0)</f>
        <v>1</v>
      </c>
      <c r="P432" s="12" t="n">
        <f aca="false">IF(AND(ISNUMBER(G432),K432="Yes",N432="POL"),IF(AND(G432&gt;=1,G432&lt;=3,COUNTIFS($A$2:A432,A432,$D$2:D432,D432,$E$2:E432,E432,$G$2:G432,G432)=1),1,0),0)</f>
        <v>1</v>
      </c>
    </row>
    <row r="433" customFormat="false" ht="15" hidden="false" customHeight="false" outlineLevel="0" collapsed="false">
      <c r="A433" s="12" t="s">
        <v>351</v>
      </c>
      <c r="B433" s="13" t="n">
        <v>46292</v>
      </c>
      <c r="C433" s="12" t="str">
        <f aca="false">IF(A433="","",IFERROR(INDEX(Events!$D$2:$D$67,MATCH(A433,Events!$A$2:$A$67,0)),"Unknown event ID"))</f>
        <v>Youth Polish Track Championships – non-Olympic events (MMP)</v>
      </c>
      <c r="D433" s="12" t="s">
        <v>389</v>
      </c>
      <c r="E433" s="12" t="s">
        <v>99</v>
      </c>
      <c r="F433" s="12" t="s">
        <v>106</v>
      </c>
      <c r="G433" s="12" t="n">
        <v>1</v>
      </c>
      <c r="H433" s="12" t="s">
        <v>366</v>
      </c>
      <c r="I433" s="12"/>
      <c r="J433" s="12" t="s">
        <v>431</v>
      </c>
      <c r="K433" s="12" t="str">
        <f aca="false">IF(A433="","",IFERROR(IF(INDEX(Events!$J$2:$J$67,MATCH(A433,Events!$A$2:$A$67,0))="Yes",IF(ISNUMBER(SEARCH("Criterium final",D433)),"No","Yes"),"No"),""))</f>
        <v>Yes</v>
      </c>
      <c r="L433" s="12"/>
      <c r="M433" s="12" t="n">
        <f aca="false">IF(OR(A433="",F433=""),0,IF(COUNTIFS($A$2:A433,A433,$F$2:F433,F433)=1,1,0))</f>
        <v>0</v>
      </c>
      <c r="N433" s="12" t="str">
        <f aca="false">IF(A433="","",IFERROR(INDEX(Events!$F$2:$F$67,MATCH(A433,Events!$A$2:$A$67,0)),""))</f>
        <v>POL</v>
      </c>
      <c r="O433" s="12" t="n">
        <f aca="false">IF(AND(G433=1,K433="Yes",N433="POL"),IF(COUNTIFS($A$2:A433,A433,$D$2:D433,D433,$E$2:E433,E433,$G$2:G433,1)=1,1,0),0)</f>
        <v>1</v>
      </c>
      <c r="P433" s="12" t="n">
        <f aca="false">IF(AND(ISNUMBER(G433),K433="Yes",N433="POL"),IF(AND(G433&gt;=1,G433&lt;=3,COUNTIFS($A$2:A433,A433,$D$2:D433,D433,$E$2:E433,E433,$G$2:G433,G433)=1),1,0),0)</f>
        <v>1</v>
      </c>
    </row>
    <row r="434" customFormat="false" ht="15" hidden="false" customHeight="false" outlineLevel="0" collapsed="false">
      <c r="A434" s="12" t="s">
        <v>351</v>
      </c>
      <c r="B434" s="13" t="n">
        <v>46292</v>
      </c>
      <c r="C434" s="12" t="str">
        <f aca="false">IF(A434="","",IFERROR(INDEX(Events!$D$2:$D$67,MATCH(A434,Events!$A$2:$A$67,0)),"Unknown event ID"))</f>
        <v>Youth Polish Track Championships – non-Olympic events (MMP)</v>
      </c>
      <c r="D434" s="12" t="s">
        <v>380</v>
      </c>
      <c r="E434" s="12" t="s">
        <v>99</v>
      </c>
      <c r="F434" s="12" t="s">
        <v>106</v>
      </c>
      <c r="G434" s="12" t="n">
        <v>1</v>
      </c>
      <c r="H434" s="12" t="s">
        <v>366</v>
      </c>
      <c r="I434" s="12"/>
      <c r="J434" s="12" t="s">
        <v>436</v>
      </c>
      <c r="K434" s="12" t="str">
        <f aca="false">IF(A434="","",IFERROR(IF(INDEX(Events!$J$2:$J$67,MATCH(A434,Events!$A$2:$A$67,0))="Yes",IF(ISNUMBER(SEARCH("Criterium final",D434)),"No","Yes"),"No"),""))</f>
        <v>Yes</v>
      </c>
      <c r="L434" s="12"/>
      <c r="M434" s="12" t="n">
        <f aca="false">IF(OR(A434="",F434=""),0,IF(COUNTIFS($A$2:A434,A434,$F$2:F434,F434)=1,1,0))</f>
        <v>0</v>
      </c>
      <c r="N434" s="12" t="str">
        <f aca="false">IF(A434="","",IFERROR(INDEX(Events!$F$2:$F$67,MATCH(A434,Events!$A$2:$A$67,0)),""))</f>
        <v>POL</v>
      </c>
      <c r="O434" s="12" t="n">
        <f aca="false">IF(AND(G434=1,K434="Yes",N434="POL"),IF(COUNTIFS($A$2:A434,A434,$D$2:D434,D434,$E$2:E434,E434,$G$2:G434,1)=1,1,0),0)</f>
        <v>1</v>
      </c>
      <c r="P434" s="12" t="n">
        <f aca="false">IF(AND(ISNUMBER(G434),K434="Yes",N434="POL"),IF(AND(G434&gt;=1,G434&lt;=3,COUNTIFS($A$2:A434,A434,$D$2:D434,D434,$E$2:E434,E434,$G$2:G434,G434)=1),1,0),0)</f>
        <v>1</v>
      </c>
    </row>
    <row r="435" customFormat="false" ht="15" hidden="false" customHeight="false" outlineLevel="0" collapsed="false">
      <c r="A435" s="12" t="s">
        <v>246</v>
      </c>
      <c r="B435" s="13" t="n">
        <v>46198</v>
      </c>
      <c r="C435" s="12" t="str">
        <f aca="false">IF(A435="","",IFERROR(INDEX(Events!$D$2:$D$67,MATCH(A435,Events!$A$2:$A$67,0)),"Unknown event ID"))</f>
        <v>Polish Road Championships (ITT + road race)</v>
      </c>
      <c r="D435" s="12" t="s">
        <v>387</v>
      </c>
      <c r="E435" s="12" t="s">
        <v>100</v>
      </c>
      <c r="F435" s="12" t="s">
        <v>109</v>
      </c>
      <c r="G435" s="12" t="n">
        <v>9</v>
      </c>
      <c r="H435" s="12" t="s">
        <v>366</v>
      </c>
      <c r="I435" s="12"/>
      <c r="J435" s="12" t="s">
        <v>111</v>
      </c>
      <c r="K435" s="12" t="str">
        <f aca="false">IF(A435="","",IFERROR(IF(INDEX(Events!$J$2:$J$67,MATCH(A435,Events!$A$2:$A$67,0))="Yes",IF(ISNUMBER(SEARCH("Criterium final",D435)),"No","Yes"),"No"),""))</f>
        <v>Yes</v>
      </c>
      <c r="L435" s="12"/>
      <c r="M435" s="12" t="n">
        <f aca="false">IF(OR(A435="",F435=""),0,IF(COUNTIFS($A$2:A435,A435,$F$2:F435,F435)=1,1,0))</f>
        <v>1</v>
      </c>
      <c r="N435" s="12" t="str">
        <f aca="false">IF(A435="","",IFERROR(INDEX(Events!$F$2:$F$67,MATCH(A435,Events!$A$2:$A$67,0)),""))</f>
        <v>POL</v>
      </c>
      <c r="O435" s="12" t="n">
        <f aca="false">IF(AND(G435=1,K435="Yes",N435="POL"),IF(COUNTIFS($A$2:A435,A435,$D$2:D435,D435,$E$2:E435,E435,$G$2:G435,1)=1,1,0),0)</f>
        <v>0</v>
      </c>
      <c r="P435" s="12" t="n">
        <f aca="false">IF(AND(ISNUMBER(G435),K435="Yes",N435="POL"),IF(AND(G435&gt;=1,G435&lt;=3,COUNTIFS($A$2:A435,A435,$D$2:D435,D435,$E$2:E435,E435,$G$2:G435,G435)=1),1,0),0)</f>
        <v>0</v>
      </c>
    </row>
    <row r="436" customFormat="false" ht="15" hidden="false" customHeight="false" outlineLevel="0" collapsed="false">
      <c r="A436" s="12" t="s">
        <v>246</v>
      </c>
      <c r="B436" s="13" t="n">
        <v>46201</v>
      </c>
      <c r="C436" s="12" t="str">
        <f aca="false">IF(A436="","",IFERROR(INDEX(Events!$D$2:$D$67,MATCH(A436,Events!$A$2:$A$67,0)),"Unknown event ID"))</f>
        <v>Polish Road Championships (ITT + road race)</v>
      </c>
      <c r="D436" s="12" t="s">
        <v>367</v>
      </c>
      <c r="E436" s="12" t="s">
        <v>100</v>
      </c>
      <c r="F436" s="12" t="s">
        <v>109</v>
      </c>
      <c r="G436" s="12" t="n">
        <v>12</v>
      </c>
      <c r="H436" s="12" t="s">
        <v>366</v>
      </c>
      <c r="I436" s="12"/>
      <c r="J436" s="12" t="s">
        <v>111</v>
      </c>
      <c r="K436" s="12" t="str">
        <f aca="false">IF(A436="","",IFERROR(IF(INDEX(Events!$J$2:$J$67,MATCH(A436,Events!$A$2:$A$67,0))="Yes",IF(ISNUMBER(SEARCH("Criterium final",D436)),"No","Yes"),"No"),""))</f>
        <v>Yes</v>
      </c>
      <c r="L436" s="12"/>
      <c r="M436" s="12" t="n">
        <f aca="false">IF(OR(A436="",F436=""),0,IF(COUNTIFS($A$2:A436,A436,$F$2:F436,F436)=1,1,0))</f>
        <v>0</v>
      </c>
      <c r="N436" s="12" t="str">
        <f aca="false">IF(A436="","",IFERROR(INDEX(Events!$F$2:$F$67,MATCH(A436,Events!$A$2:$A$67,0)),""))</f>
        <v>POL</v>
      </c>
      <c r="O436" s="12" t="n">
        <f aca="false">IF(AND(G436=1,K436="Yes",N436="POL"),IF(COUNTIFS($A$2:A436,A436,$D$2:D436,D436,$E$2:E436,E436,$G$2:G436,1)=1,1,0),0)</f>
        <v>0</v>
      </c>
      <c r="P436" s="12" t="n">
        <f aca="false">IF(AND(ISNUMBER(G436),K436="Yes",N436="POL"),IF(AND(G436&gt;=1,G436&lt;=3,COUNTIFS($A$2:A436,A436,$D$2:D436,D436,$E$2:E436,E436,$G$2:G436,G436)=1),1,0),0)</f>
        <v>0</v>
      </c>
    </row>
    <row r="437" customFormat="false" ht="15" hidden="false" customHeight="false" outlineLevel="0" collapsed="false">
      <c r="A437" s="12" t="s">
        <v>334</v>
      </c>
      <c r="B437" s="13" t="n">
        <v>46219</v>
      </c>
      <c r="C437" s="12" t="str">
        <f aca="false">IF(A437="","",IFERROR(INDEX(Events!$D$2:$D$67,MATCH(A437,Events!$A$2:$A$67,0)),"Unknown event ID"))</f>
        <v>Polish MTB Championships (XCO / XCC)</v>
      </c>
      <c r="D437" s="12" t="s">
        <v>464</v>
      </c>
      <c r="E437" s="12" t="s">
        <v>100</v>
      </c>
      <c r="F437" s="12" t="s">
        <v>109</v>
      </c>
      <c r="G437" s="12" t="n">
        <v>5</v>
      </c>
      <c r="H437" s="12" t="s">
        <v>366</v>
      </c>
      <c r="I437" s="12"/>
      <c r="J437" s="12" t="s">
        <v>111</v>
      </c>
      <c r="K437" s="12" t="str">
        <f aca="false">IF(A437="","",IFERROR(IF(INDEX(Events!$J$2:$J$67,MATCH(A437,Events!$A$2:$A$67,0))="Yes",IF(ISNUMBER(SEARCH("Criterium final",D437)),"No","Yes"),"No"),""))</f>
        <v>Yes</v>
      </c>
      <c r="L437" s="12"/>
      <c r="M437" s="12" t="n">
        <f aca="false">IF(OR(A437="",F437=""),0,IF(COUNTIFS($A$2:A437,A437,$F$2:F437,F437)=1,1,0))</f>
        <v>1</v>
      </c>
      <c r="N437" s="12" t="str">
        <f aca="false">IF(A437="","",IFERROR(INDEX(Events!$F$2:$F$67,MATCH(A437,Events!$A$2:$A$67,0)),""))</f>
        <v>POL</v>
      </c>
      <c r="O437" s="12" t="n">
        <f aca="false">IF(AND(G437=1,K437="Yes",N437="POL"),IF(COUNTIFS($A$2:A437,A437,$D$2:D437,D437,$E$2:E437,E437,$G$2:G437,1)=1,1,0),0)</f>
        <v>0</v>
      </c>
      <c r="P437" s="12" t="n">
        <f aca="false">IF(AND(ISNUMBER(G437),K437="Yes",N437="POL"),IF(AND(G437&gt;=1,G437&lt;=3,COUNTIFS($A$2:A437,A437,$D$2:D437,D437,$E$2:E437,E437,$G$2:G437,G437)=1),1,0),0)</f>
        <v>0</v>
      </c>
    </row>
    <row r="438" customFormat="false" ht="15" hidden="false" customHeight="false" outlineLevel="0" collapsed="false">
      <c r="A438" s="12" t="s">
        <v>354</v>
      </c>
      <c r="B438" s="13"/>
      <c r="C438" s="12" t="str">
        <f aca="false">IF(A438="","",IFERROR(INDEX(Events!$D$2:$D$67,MATCH(A438,Events!$A$2:$A$67,0)),"Unknown event ID"))</f>
        <v>Polish MTB Marathon Championships</v>
      </c>
      <c r="D438" s="12" t="s">
        <v>449</v>
      </c>
      <c r="E438" s="12" t="s">
        <v>99</v>
      </c>
      <c r="F438" s="12" t="s">
        <v>109</v>
      </c>
      <c r="G438" s="12" t="n">
        <v>3</v>
      </c>
      <c r="H438" s="12" t="s">
        <v>366</v>
      </c>
      <c r="I438" s="12"/>
      <c r="J438" s="12" t="s">
        <v>436</v>
      </c>
      <c r="K438" s="12" t="str">
        <f aca="false">IF(A438="","",IFERROR(IF(INDEX(Events!$J$2:$J$67,MATCH(A438,Events!$A$2:$A$67,0))="Yes",IF(ISNUMBER(SEARCH("Criterium final",D438)),"No","Yes"),"No"),""))</f>
        <v>Yes</v>
      </c>
      <c r="L438" s="12"/>
      <c r="M438" s="12" t="n">
        <f aca="false">IF(OR(A438="",F438=""),0,IF(COUNTIFS($A$2:A438,A438,$F$2:F438,F438)=1,1,0))</f>
        <v>1</v>
      </c>
      <c r="N438" s="12" t="str">
        <f aca="false">IF(A438="","",IFERROR(INDEX(Events!$F$2:$F$67,MATCH(A438,Events!$A$2:$A$67,0)),""))</f>
        <v>POL</v>
      </c>
      <c r="O438" s="12" t="n">
        <f aca="false">IF(AND(G438=1,K438="Yes",N438="POL"),IF(COUNTIFS($A$2:A438,A438,$D$2:D438,D438,$E$2:E438,E438,$G$2:G438,1)=1,1,0),0)</f>
        <v>0</v>
      </c>
      <c r="P438" s="12" t="n">
        <f aca="false">IF(AND(ISNUMBER(G438),K438="Yes",N438="POL"),IF(AND(G438&gt;=1,G438&lt;=3,COUNTIFS($A$2:A438,A438,$D$2:D438,D438,$E$2:E438,E438,$G$2:G438,G438)=1),1,0),0)</f>
        <v>1</v>
      </c>
    </row>
    <row r="439" customFormat="false" ht="15" hidden="false" customHeight="false" outlineLevel="0" collapsed="false">
      <c r="A439" s="12" t="s">
        <v>146</v>
      </c>
      <c r="B439" s="13" t="n">
        <v>46033</v>
      </c>
      <c r="C439" s="12" t="str">
        <f aca="false">IF(A439="","",IFERROR(INDEX(Events!$D$2:$D$67,MATCH(A439,Events!$A$2:$A$67,0)),"Unknown event ID"))</f>
        <v>Przełajowe Mistrzostwa Polski (Polish CX Championships)</v>
      </c>
      <c r="D439" s="12" t="s">
        <v>437</v>
      </c>
      <c r="E439" s="12" t="s">
        <v>99</v>
      </c>
      <c r="F439" s="12" t="s">
        <v>112</v>
      </c>
      <c r="G439" s="12" t="n">
        <v>6</v>
      </c>
      <c r="H439" s="12" t="s">
        <v>366</v>
      </c>
      <c r="I439" s="12"/>
      <c r="J439" s="12" t="s">
        <v>439</v>
      </c>
      <c r="K439" s="12" t="str">
        <f aca="false">IF(A439="","",IFERROR(IF(INDEX(Events!$J$2:$J$67,MATCH(A439,Events!$A$2:$A$67,0))="Yes",IF(ISNUMBER(SEARCH("Criterium final",D439)),"No","Yes"),"No"),""))</f>
        <v>Yes</v>
      </c>
      <c r="L439" s="12"/>
      <c r="M439" s="12" t="n">
        <f aca="false">IF(OR(A439="",F439=""),0,IF(COUNTIFS($A$2:A439,A439,$F$2:F439,F439)=1,1,0))</f>
        <v>1</v>
      </c>
      <c r="N439" s="12" t="str">
        <f aca="false">IF(A439="","",IFERROR(INDEX(Events!$F$2:$F$67,MATCH(A439,Events!$A$2:$A$67,0)),""))</f>
        <v>POL</v>
      </c>
      <c r="O439" s="12" t="n">
        <f aca="false">IF(AND(G439=1,K439="Yes",N439="POL"),IF(COUNTIFS($A$2:A439,A439,$D$2:D439,D439,$E$2:E439,E439,$G$2:G439,1)=1,1,0),0)</f>
        <v>0</v>
      </c>
      <c r="P439" s="12" t="n">
        <f aca="false">IF(AND(ISNUMBER(G439),K439="Yes",N439="POL"),IF(AND(G439&gt;=1,G439&lt;=3,COUNTIFS($A$2:A439,A439,$D$2:D439,D439,$E$2:E439,E439,$G$2:G439,G439)=1),1,0),0)</f>
        <v>0</v>
      </c>
    </row>
    <row r="440" customFormat="false" ht="15" hidden="false" customHeight="false" outlineLevel="0" collapsed="false">
      <c r="A440" s="12" t="s">
        <v>204</v>
      </c>
      <c r="B440" s="13" t="n">
        <v>46138</v>
      </c>
      <c r="C440" s="12" t="str">
        <f aca="false">IF(A440="","",IFERROR(INDEX(Events!$D$2:$D$67,MATCH(A440,Events!$A$2:$A$67,0)),"Unknown event ID"))</f>
        <v>Polish Cup (road)</v>
      </c>
      <c r="D440" s="12" t="s">
        <v>393</v>
      </c>
      <c r="E440" s="12" t="s">
        <v>99</v>
      </c>
      <c r="F440" s="12" t="s">
        <v>112</v>
      </c>
      <c r="G440" s="12" t="n">
        <v>2</v>
      </c>
      <c r="H440" s="12" t="s">
        <v>366</v>
      </c>
      <c r="I440" s="12"/>
      <c r="J440" s="12" t="s">
        <v>392</v>
      </c>
      <c r="K440" s="12" t="str">
        <f aca="false">IF(A440="","",IFERROR(IF(INDEX(Events!$J$2:$J$67,MATCH(A440,Events!$A$2:$A$67,0))="Yes",IF(ISNUMBER(SEARCH("Criterium final",D440)),"No","Yes"),"No"),""))</f>
        <v>No</v>
      </c>
      <c r="L440" s="12"/>
      <c r="M440" s="12" t="n">
        <f aca="false">IF(OR(A440="",F440=""),0,IF(COUNTIFS($A$2:A440,A440,$F$2:F440,F440)=1,1,0))</f>
        <v>1</v>
      </c>
      <c r="N440" s="12" t="str">
        <f aca="false">IF(A440="","",IFERROR(INDEX(Events!$F$2:$F$67,MATCH(A440,Events!$A$2:$A$67,0)),""))</f>
        <v>POL</v>
      </c>
      <c r="O440" s="12" t="n">
        <f aca="false">IF(AND(G440=1,K440="Yes",N440="POL"),IF(COUNTIFS($A$2:A440,A440,$D$2:D440,D440,$E$2:E440,E440,$G$2:G440,1)=1,1,0),0)</f>
        <v>0</v>
      </c>
      <c r="P440" s="12" t="n">
        <f aca="false">IF(AND(ISNUMBER(G440),K440="Yes",N440="POL"),IF(AND(G440&gt;=1,G440&lt;=3,COUNTIFS($A$2:A440,A440,$D$2:D440,D440,$E$2:E440,E440,$G$2:G440,G440)=1),1,0),0)</f>
        <v>0</v>
      </c>
    </row>
    <row r="441" customFormat="false" ht="15" hidden="false" customHeight="false" outlineLevel="0" collapsed="false">
      <c r="A441" s="12" t="s">
        <v>246</v>
      </c>
      <c r="B441" s="13" t="n">
        <v>46198</v>
      </c>
      <c r="C441" s="12" t="str">
        <f aca="false">IF(A441="","",IFERROR(INDEX(Events!$D$2:$D$67,MATCH(A441,Events!$A$2:$A$67,0)),"Unknown event ID"))</f>
        <v>Polish Road Championships (ITT + road race)</v>
      </c>
      <c r="D441" s="12" t="s">
        <v>387</v>
      </c>
      <c r="E441" s="12" t="s">
        <v>100</v>
      </c>
      <c r="F441" s="12" t="s">
        <v>112</v>
      </c>
      <c r="G441" s="12" t="n">
        <v>15</v>
      </c>
      <c r="H441" s="12" t="s">
        <v>366</v>
      </c>
      <c r="I441" s="12"/>
      <c r="J441" s="12" t="s">
        <v>114</v>
      </c>
      <c r="K441" s="12" t="str">
        <f aca="false">IF(A441="","",IFERROR(IF(INDEX(Events!$J$2:$J$67,MATCH(A441,Events!$A$2:$A$67,0))="Yes",IF(ISNUMBER(SEARCH("Criterium final",D441)),"No","Yes"),"No"),""))</f>
        <v>Yes</v>
      </c>
      <c r="L441" s="12"/>
      <c r="M441" s="12" t="n">
        <f aca="false">IF(OR(A441="",F441=""),0,IF(COUNTIFS($A$2:A441,A441,$F$2:F441,F441)=1,1,0))</f>
        <v>1</v>
      </c>
      <c r="N441" s="12" t="str">
        <f aca="false">IF(A441="","",IFERROR(INDEX(Events!$F$2:$F$67,MATCH(A441,Events!$A$2:$A$67,0)),""))</f>
        <v>POL</v>
      </c>
      <c r="O441" s="12" t="n">
        <f aca="false">IF(AND(G441=1,K441="Yes",N441="POL"),IF(COUNTIFS($A$2:A441,A441,$D$2:D441,D441,$E$2:E441,E441,$G$2:G441,1)=1,1,0),0)</f>
        <v>0</v>
      </c>
      <c r="P441" s="12" t="n">
        <f aca="false">IF(AND(ISNUMBER(G441),K441="Yes",N441="POL"),IF(AND(G441&gt;=1,G441&lt;=3,COUNTIFS($A$2:A441,A441,$D$2:D441,D441,$E$2:E441,E441,$G$2:G441,G441)=1),1,0),0)</f>
        <v>0</v>
      </c>
    </row>
    <row r="442" customFormat="false" ht="15" hidden="false" customHeight="false" outlineLevel="0" collapsed="false">
      <c r="A442" s="12" t="s">
        <v>246</v>
      </c>
      <c r="B442" s="13" t="n">
        <v>46201</v>
      </c>
      <c r="C442" s="12" t="str">
        <f aca="false">IF(A442="","",IFERROR(INDEX(Events!$D$2:$D$67,MATCH(A442,Events!$A$2:$A$67,0)),"Unknown event ID"))</f>
        <v>Polish Road Championships (ITT + road race)</v>
      </c>
      <c r="D442" s="12" t="s">
        <v>367</v>
      </c>
      <c r="E442" s="12" t="s">
        <v>100</v>
      </c>
      <c r="F442" s="12" t="s">
        <v>112</v>
      </c>
      <c r="G442" s="12" t="n">
        <v>8</v>
      </c>
      <c r="H442" s="12" t="s">
        <v>366</v>
      </c>
      <c r="I442" s="12"/>
      <c r="J442" s="12" t="s">
        <v>114</v>
      </c>
      <c r="K442" s="12" t="str">
        <f aca="false">IF(A442="","",IFERROR(IF(INDEX(Events!$J$2:$J$67,MATCH(A442,Events!$A$2:$A$67,0))="Yes",IF(ISNUMBER(SEARCH("Criterium final",D442)),"No","Yes"),"No"),""))</f>
        <v>Yes</v>
      </c>
      <c r="L442" s="12"/>
      <c r="M442" s="12" t="n">
        <f aca="false">IF(OR(A442="",F442=""),0,IF(COUNTIFS($A$2:A442,A442,$F$2:F442,F442)=1,1,0))</f>
        <v>0</v>
      </c>
      <c r="N442" s="12" t="str">
        <f aca="false">IF(A442="","",IFERROR(INDEX(Events!$F$2:$F$67,MATCH(A442,Events!$A$2:$A$67,0)),""))</f>
        <v>POL</v>
      </c>
      <c r="O442" s="12" t="n">
        <f aca="false">IF(AND(G442=1,K442="Yes",N442="POL"),IF(COUNTIFS($A$2:A442,A442,$D$2:D442,D442,$E$2:E442,E442,$G$2:G442,1)=1,1,0),0)</f>
        <v>0</v>
      </c>
      <c r="P442" s="12" t="n">
        <f aca="false">IF(AND(ISNUMBER(G442),K442="Yes",N442="POL"),IF(AND(G442&gt;=1,G442&lt;=3,COUNTIFS($A$2:A442,A442,$D$2:D442,D442,$E$2:E442,E442,$G$2:G442,G442)=1),1,0),0)</f>
        <v>0</v>
      </c>
    </row>
    <row r="443" customFormat="false" ht="15" hidden="false" customHeight="false" outlineLevel="0" collapsed="false">
      <c r="A443" s="12" t="s">
        <v>344</v>
      </c>
      <c r="B443" s="13" t="n">
        <v>46260</v>
      </c>
      <c r="C443" s="12" t="str">
        <f aca="false">IF(A443="","",IFERROR(INDEX(Events!$D$2:$D$67,MATCH(A443,Events!$A$2:$A$67,0)),"Unknown event ID"))</f>
        <v>Druivenkoers – Overijse (juniors)</v>
      </c>
      <c r="D443" s="12" t="s">
        <v>365</v>
      </c>
      <c r="E443" s="12" t="s">
        <v>99</v>
      </c>
      <c r="F443" s="12" t="s">
        <v>112</v>
      </c>
      <c r="G443" s="12" t="n">
        <v>47</v>
      </c>
      <c r="H443" s="12" t="s">
        <v>366</v>
      </c>
      <c r="I443" s="12"/>
      <c r="J443" s="12" t="s">
        <v>114</v>
      </c>
      <c r="K443" s="12" t="str">
        <f aca="false">IF(A443="","",IFERROR(IF(INDEX(Events!$J$2:$J$67,MATCH(A443,Events!$A$2:$A$67,0))="Yes",IF(ISNUMBER(SEARCH("Criterium final",D443)),"No","Yes"),"No"),""))</f>
        <v>No</v>
      </c>
      <c r="L443" s="12"/>
      <c r="M443" s="12" t="n">
        <f aca="false">IF(OR(A443="",F443=""),0,IF(COUNTIFS($A$2:A443,A443,$F$2:F443,F443)=1,1,0))</f>
        <v>1</v>
      </c>
      <c r="N443" s="12" t="str">
        <f aca="false">IF(A443="","",IFERROR(INDEX(Events!$F$2:$F$67,MATCH(A443,Events!$A$2:$A$67,0)),""))</f>
        <v>BEL</v>
      </c>
      <c r="O443" s="12" t="n">
        <f aca="false">IF(AND(G443=1,K443="Yes",N443="POL"),IF(COUNTIFS($A$2:A443,A443,$D$2:D443,D443,$E$2:E443,E443,$G$2:G443,1)=1,1,0),0)</f>
        <v>0</v>
      </c>
      <c r="P443" s="12" t="n">
        <f aca="false">IF(AND(ISNUMBER(G443),K443="Yes",N443="POL"),IF(AND(G443&gt;=1,G443&lt;=3,COUNTIFS($A$2:A443,A443,$D$2:D443,D443,$E$2:E443,E443,$G$2:G443,G443)=1),1,0),0)</f>
        <v>0</v>
      </c>
    </row>
    <row r="444" customFormat="false" ht="15" hidden="false" customHeight="false" outlineLevel="0" collapsed="false">
      <c r="A444" s="12" t="s">
        <v>296</v>
      </c>
      <c r="B444" s="13" t="n">
        <v>46285</v>
      </c>
      <c r="C444" s="12" t="str">
        <f aca="false">IF(A444="","",IFERROR(INDEX(Events!$D$2:$D$67,MATCH(A444,Events!$A$2:$A$67,0)),"Unknown event ID"))</f>
        <v>Memoriał im. Stanisława Szozdy – MP criterium final</v>
      </c>
      <c r="D444" s="12" t="s">
        <v>427</v>
      </c>
      <c r="E444" s="12" t="s">
        <v>99</v>
      </c>
      <c r="F444" s="12" t="s">
        <v>112</v>
      </c>
      <c r="G444" s="12" t="n">
        <v>3</v>
      </c>
      <c r="H444" s="12" t="s">
        <v>366</v>
      </c>
      <c r="I444" s="12"/>
      <c r="J444" s="12" t="s">
        <v>429</v>
      </c>
      <c r="K444" s="12" t="str">
        <f aca="false">IF(A444="","",IFERROR(IF(INDEX(Events!$J$2:$J$67,MATCH(A444,Events!$A$2:$A$67,0))="Yes",IF(ISNUMBER(SEARCH("Criterium final",D444)),"No","Yes"),"No"),""))</f>
        <v>No</v>
      </c>
      <c r="L444" s="12"/>
      <c r="M444" s="12" t="n">
        <f aca="false">IF(OR(A444="",F444=""),0,IF(COUNTIFS($A$2:A444,A444,$F$2:F444,F444)=1,1,0))</f>
        <v>1</v>
      </c>
      <c r="N444" s="12" t="str">
        <f aca="false">IF(A444="","",IFERROR(INDEX(Events!$F$2:$F$67,MATCH(A444,Events!$A$2:$A$67,0)),""))</f>
        <v>POL</v>
      </c>
      <c r="O444" s="12" t="n">
        <f aca="false">IF(AND(G444=1,K444="Yes",N444="POL"),IF(COUNTIFS($A$2:A444,A444,$D$2:D444,D444,$E$2:E444,E444,$G$2:G444,1)=1,1,0),0)</f>
        <v>0</v>
      </c>
      <c r="P444" s="12" t="n">
        <f aca="false">IF(AND(ISNUMBER(G444),K444="Yes",N444="POL"),IF(AND(G444&gt;=1,G444&lt;=3,COUNTIFS($A$2:A444,A444,$D$2:D444,D444,$E$2:E444,E444,$G$2:G444,G444)=1),1,0),0)</f>
        <v>0</v>
      </c>
    </row>
    <row r="445" customFormat="false" ht="15" hidden="false" customHeight="false" outlineLevel="0" collapsed="false">
      <c r="A445" s="12" t="s">
        <v>146</v>
      </c>
      <c r="B445" s="13" t="n">
        <v>46033</v>
      </c>
      <c r="C445" s="12" t="str">
        <f aca="false">IF(A445="","",IFERROR(INDEX(Events!$D$2:$D$67,MATCH(A445,Events!$A$2:$A$67,0)),"Unknown event ID"))</f>
        <v>Przełajowe Mistrzostwa Polski (Polish CX Championships)</v>
      </c>
      <c r="D445" s="12" t="s">
        <v>437</v>
      </c>
      <c r="E445" s="12" t="s">
        <v>99</v>
      </c>
      <c r="F445" s="12" t="s">
        <v>115</v>
      </c>
      <c r="G445" s="12" t="n">
        <v>5</v>
      </c>
      <c r="H445" s="12" t="s">
        <v>366</v>
      </c>
      <c r="I445" s="12"/>
      <c r="J445" s="12" t="s">
        <v>439</v>
      </c>
      <c r="K445" s="12" t="str">
        <f aca="false">IF(A445="","",IFERROR(IF(INDEX(Events!$J$2:$J$67,MATCH(A445,Events!$A$2:$A$67,0))="Yes",IF(ISNUMBER(SEARCH("Criterium final",D445)),"No","Yes"),"No"),""))</f>
        <v>Yes</v>
      </c>
      <c r="L445" s="12"/>
      <c r="M445" s="12" t="n">
        <f aca="false">IF(OR(A445="",F445=""),0,IF(COUNTIFS($A$2:A445,A445,$F$2:F445,F445)=1,1,0))</f>
        <v>1</v>
      </c>
      <c r="N445" s="12" t="str">
        <f aca="false">IF(A445="","",IFERROR(INDEX(Events!$F$2:$F$67,MATCH(A445,Events!$A$2:$A$67,0)),""))</f>
        <v>POL</v>
      </c>
      <c r="O445" s="12" t="n">
        <f aca="false">IF(AND(G445=1,K445="Yes",N445="POL"),IF(COUNTIFS($A$2:A445,A445,$D$2:D445,D445,$E$2:E445,E445,$G$2:G445,1)=1,1,0),0)</f>
        <v>0</v>
      </c>
      <c r="P445" s="12" t="n">
        <f aca="false">IF(AND(ISNUMBER(G445),K445="Yes",N445="POL"),IF(AND(G445&gt;=1,G445&lt;=3,COUNTIFS($A$2:A445,A445,$D$2:D445,D445,$E$2:E445,E445,$G$2:G445,G445)=1),1,0),0)</f>
        <v>0</v>
      </c>
    </row>
    <row r="446" customFormat="false" ht="15" hidden="false" customHeight="false" outlineLevel="0" collapsed="false">
      <c r="A446" s="12" t="s">
        <v>306</v>
      </c>
      <c r="B446" s="13" t="n">
        <v>46096</v>
      </c>
      <c r="C446" s="12" t="str">
        <f aca="false">IF(A446="","",IFERROR(INDEX(Events!$D$2:$D$67,MATCH(A446,Events!$A$2:$A$67,0)),"Unknown event ID"))</f>
        <v>Piccolo Trofeo Alfredo Binda – Valli del Verbano (juniors)</v>
      </c>
      <c r="D446" s="12" t="s">
        <v>365</v>
      </c>
      <c r="E446" s="12" t="s">
        <v>99</v>
      </c>
      <c r="F446" s="12" t="s">
        <v>115</v>
      </c>
      <c r="G446" s="12" t="n">
        <v>43</v>
      </c>
      <c r="H446" s="12" t="s">
        <v>366</v>
      </c>
      <c r="I446" s="12"/>
      <c r="J446" s="12" t="s">
        <v>117</v>
      </c>
      <c r="K446" s="12" t="str">
        <f aca="false">IF(A446="","",IFERROR(IF(INDEX(Events!$J$2:$J$67,MATCH(A446,Events!$A$2:$A$67,0))="Yes",IF(ISNUMBER(SEARCH("Criterium final",D446)),"No","Yes"),"No"),""))</f>
        <v>No</v>
      </c>
      <c r="L446" s="12"/>
      <c r="M446" s="12" t="n">
        <f aca="false">IF(OR(A446="",F446=""),0,IF(COUNTIFS($A$2:A446,A446,$F$2:F446,F446)=1,1,0))</f>
        <v>1</v>
      </c>
      <c r="N446" s="12" t="str">
        <f aca="false">IF(A446="","",IFERROR(INDEX(Events!$F$2:$F$67,MATCH(A446,Events!$A$2:$A$67,0)),""))</f>
        <v>ITA</v>
      </c>
      <c r="O446" s="12" t="n">
        <f aca="false">IF(AND(G446=1,K446="Yes",N446="POL"),IF(COUNTIFS($A$2:A446,A446,$D$2:D446,D446,$E$2:E446,E446,$G$2:G446,1)=1,1,0),0)</f>
        <v>0</v>
      </c>
      <c r="P446" s="12" t="n">
        <f aca="false">IF(AND(ISNUMBER(G446),K446="Yes",N446="POL"),IF(AND(G446&gt;=1,G446&lt;=3,COUNTIFS($A$2:A446,A446,$D$2:D446,D446,$E$2:E446,E446,$G$2:G446,G446)=1),1,0),0)</f>
        <v>0</v>
      </c>
    </row>
    <row r="447" customFormat="false" ht="15" hidden="false" customHeight="false" outlineLevel="0" collapsed="false">
      <c r="A447" s="12" t="s">
        <v>199</v>
      </c>
      <c r="B447" s="13" t="n">
        <v>46136</v>
      </c>
      <c r="C447" s="12" t="str">
        <f aca="false">IF(A447="","",IFERROR(INDEX(Events!$D$2:$D$67,MATCH(A447,Events!$A$2:$A$67,0)),"Unknown event ID"))</f>
        <v>EPZ Omloop van Borsele</v>
      </c>
      <c r="D447" s="12" t="s">
        <v>377</v>
      </c>
      <c r="E447" s="12" t="s">
        <v>99</v>
      </c>
      <c r="F447" s="12" t="s">
        <v>115</v>
      </c>
      <c r="G447" s="12" t="n">
        <v>21</v>
      </c>
      <c r="H447" s="12" t="s">
        <v>366</v>
      </c>
      <c r="I447" s="12"/>
      <c r="J447" s="12" t="s">
        <v>117</v>
      </c>
      <c r="K447" s="12" t="str">
        <f aca="false">IF(A447="","",IFERROR(IF(INDEX(Events!$J$2:$J$67,MATCH(A447,Events!$A$2:$A$67,0))="Yes",IF(ISNUMBER(SEARCH("Criterium final",D447)),"No","Yes"),"No"),""))</f>
        <v>No</v>
      </c>
      <c r="L447" s="12"/>
      <c r="M447" s="12" t="n">
        <f aca="false">IF(OR(A447="",F447=""),0,IF(COUNTIFS($A$2:A447,A447,$F$2:F447,F447)=1,1,0))</f>
        <v>1</v>
      </c>
      <c r="N447" s="12" t="str">
        <f aca="false">IF(A447="","",IFERROR(INDEX(Events!$F$2:$F$67,MATCH(A447,Events!$A$2:$A$67,0)),""))</f>
        <v>NED</v>
      </c>
      <c r="O447" s="12" t="n">
        <f aca="false">IF(AND(G447=1,K447="Yes",N447="POL"),IF(COUNTIFS($A$2:A447,A447,$D$2:D447,D447,$E$2:E447,E447,$G$2:G447,1)=1,1,0),0)</f>
        <v>0</v>
      </c>
      <c r="P447" s="12" t="n">
        <f aca="false">IF(AND(ISNUMBER(G447),K447="Yes",N447="POL"),IF(AND(G447&gt;=1,G447&lt;=3,COUNTIFS($A$2:A447,A447,$D$2:D447,D447,$E$2:E447,E447,$G$2:G447,G447)=1),1,0),0)</f>
        <v>0</v>
      </c>
    </row>
    <row r="448" customFormat="false" ht="15" hidden="false" customHeight="false" outlineLevel="0" collapsed="false">
      <c r="A448" s="12" t="s">
        <v>199</v>
      </c>
      <c r="B448" s="13" t="n">
        <v>46137</v>
      </c>
      <c r="C448" s="12" t="str">
        <f aca="false">IF(A448="","",IFERROR(INDEX(Events!$D$2:$D$67,MATCH(A448,Events!$A$2:$A$67,0)),"Unknown event ID"))</f>
        <v>EPZ Omloop van Borsele</v>
      </c>
      <c r="D448" s="12" t="s">
        <v>373</v>
      </c>
      <c r="E448" s="12" t="s">
        <v>99</v>
      </c>
      <c r="F448" s="12" t="s">
        <v>115</v>
      </c>
      <c r="G448" s="12" t="n">
        <v>31</v>
      </c>
      <c r="H448" s="12" t="s">
        <v>366</v>
      </c>
      <c r="I448" s="12"/>
      <c r="J448" s="12" t="s">
        <v>117</v>
      </c>
      <c r="K448" s="12" t="str">
        <f aca="false">IF(A448="","",IFERROR(IF(INDEX(Events!$J$2:$J$67,MATCH(A448,Events!$A$2:$A$67,0))="Yes",IF(ISNUMBER(SEARCH("Criterium final",D448)),"No","Yes"),"No"),""))</f>
        <v>No</v>
      </c>
      <c r="L448" s="12"/>
      <c r="M448" s="12" t="n">
        <f aca="false">IF(OR(A448="",F448=""),0,IF(COUNTIFS($A$2:A448,A448,$F$2:F448,F448)=1,1,0))</f>
        <v>0</v>
      </c>
      <c r="N448" s="12" t="str">
        <f aca="false">IF(A448="","",IFERROR(INDEX(Events!$F$2:$F$67,MATCH(A448,Events!$A$2:$A$67,0)),""))</f>
        <v>NED</v>
      </c>
      <c r="O448" s="12" t="n">
        <f aca="false">IF(AND(G448=1,K448="Yes",N448="POL"),IF(COUNTIFS($A$2:A448,A448,$D$2:D448,D448,$E$2:E448,E448,$G$2:G448,1)=1,1,0),0)</f>
        <v>0</v>
      </c>
      <c r="P448" s="12" t="n">
        <f aca="false">IF(AND(ISNUMBER(G448),K448="Yes",N448="POL"),IF(AND(G448&gt;=1,G448&lt;=3,COUNTIFS($A$2:A448,A448,$D$2:D448,D448,$E$2:E448,E448,$G$2:G448,G448)=1),1,0),0)</f>
        <v>0</v>
      </c>
    </row>
    <row r="449" customFormat="false" ht="15" hidden="false" customHeight="false" outlineLevel="0" collapsed="false">
      <c r="A449" s="12" t="s">
        <v>199</v>
      </c>
      <c r="B449" s="13" t="n">
        <v>46138</v>
      </c>
      <c r="C449" s="12" t="str">
        <f aca="false">IF(A449="","",IFERROR(INDEX(Events!$D$2:$D$67,MATCH(A449,Events!$A$2:$A$67,0)),"Unknown event ID"))</f>
        <v>EPZ Omloop van Borsele</v>
      </c>
      <c r="D449" s="12" t="s">
        <v>374</v>
      </c>
      <c r="E449" s="12" t="s">
        <v>99</v>
      </c>
      <c r="F449" s="12" t="s">
        <v>115</v>
      </c>
      <c r="G449" s="12" t="n">
        <v>29</v>
      </c>
      <c r="H449" s="12" t="s">
        <v>366</v>
      </c>
      <c r="I449" s="12"/>
      <c r="J449" s="12" t="s">
        <v>117</v>
      </c>
      <c r="K449" s="12" t="str">
        <f aca="false">IF(A449="","",IFERROR(IF(INDEX(Events!$J$2:$J$67,MATCH(A449,Events!$A$2:$A$67,0))="Yes",IF(ISNUMBER(SEARCH("Criterium final",D449)),"No","Yes"),"No"),""))</f>
        <v>No</v>
      </c>
      <c r="L449" s="12"/>
      <c r="M449" s="12" t="n">
        <f aca="false">IF(OR(A449="",F449=""),0,IF(COUNTIFS($A$2:A449,A449,$F$2:F449,F449)=1,1,0))</f>
        <v>0</v>
      </c>
      <c r="N449" s="12" t="str">
        <f aca="false">IF(A449="","",IFERROR(INDEX(Events!$F$2:$F$67,MATCH(A449,Events!$A$2:$A$67,0)),""))</f>
        <v>NED</v>
      </c>
      <c r="O449" s="12" t="n">
        <f aca="false">IF(AND(G449=1,K449="Yes",N449="POL"),IF(COUNTIFS($A$2:A449,A449,$D$2:D449,D449,$E$2:E449,E449,$G$2:G449,1)=1,1,0),0)</f>
        <v>0</v>
      </c>
      <c r="P449" s="12" t="n">
        <f aca="false">IF(AND(ISNUMBER(G449),K449="Yes",N449="POL"),IF(AND(G449&gt;=1,G449&lt;=3,COUNTIFS($A$2:A449,A449,$D$2:D449,D449,$E$2:E449,E449,$G$2:G449,G449)=1),1,0),0)</f>
        <v>0</v>
      </c>
    </row>
    <row r="450" customFormat="false" ht="15" hidden="false" customHeight="false" outlineLevel="0" collapsed="false">
      <c r="A450" s="12" t="s">
        <v>199</v>
      </c>
      <c r="B450" s="13" t="n">
        <v>46138</v>
      </c>
      <c r="C450" s="12" t="str">
        <f aca="false">IF(A450="","",IFERROR(INDEX(Events!$D$2:$D$67,MATCH(A450,Events!$A$2:$A$67,0)),"Unknown event ID"))</f>
        <v>EPZ Omloop van Borsele</v>
      </c>
      <c r="D450" s="12" t="s">
        <v>376</v>
      </c>
      <c r="E450" s="12" t="s">
        <v>99</v>
      </c>
      <c r="F450" s="12" t="s">
        <v>115</v>
      </c>
      <c r="G450" s="12" t="n">
        <v>22</v>
      </c>
      <c r="H450" s="12" t="s">
        <v>366</v>
      </c>
      <c r="I450" s="12"/>
      <c r="J450" s="12" t="s">
        <v>117</v>
      </c>
      <c r="K450" s="12" t="str">
        <f aca="false">IF(A450="","",IFERROR(IF(INDEX(Events!$J$2:$J$67,MATCH(A450,Events!$A$2:$A$67,0))="Yes",IF(ISNUMBER(SEARCH("Criterium final",D450)),"No","Yes"),"No"),""))</f>
        <v>No</v>
      </c>
      <c r="L450" s="12"/>
      <c r="M450" s="12" t="n">
        <f aca="false">IF(OR(A450="",F450=""),0,IF(COUNTIFS($A$2:A450,A450,$F$2:F450,F450)=1,1,0))</f>
        <v>0</v>
      </c>
      <c r="N450" s="12" t="str">
        <f aca="false">IF(A450="","",IFERROR(INDEX(Events!$F$2:$F$67,MATCH(A450,Events!$A$2:$A$67,0)),""))</f>
        <v>NED</v>
      </c>
      <c r="O450" s="12" t="n">
        <f aca="false">IF(AND(G450=1,K450="Yes",N450="POL"),IF(COUNTIFS($A$2:A450,A450,$D$2:D450,D450,$E$2:E450,E450,$G$2:G450,1)=1,1,0),0)</f>
        <v>0</v>
      </c>
      <c r="P450" s="12" t="n">
        <f aca="false">IF(AND(ISNUMBER(G450),K450="Yes",N450="POL"),IF(AND(G450&gt;=1,G450&lt;=3,COUNTIFS($A$2:A450,A450,$D$2:D450,D450,$E$2:E450,E450,$G$2:G450,G450)=1),1,0),0)</f>
        <v>0</v>
      </c>
    </row>
    <row r="451" customFormat="false" ht="15" hidden="false" customHeight="false" outlineLevel="0" collapsed="false">
      <c r="A451" s="12" t="s">
        <v>233</v>
      </c>
      <c r="B451" s="13" t="n">
        <v>46173</v>
      </c>
      <c r="C451" s="12" t="str">
        <f aca="false">IF(A451="","",IFERROR(INDEX(Events!$D$2:$D$67,MATCH(A451,Events!$A$2:$A$67,0)),"Unknown event ID"))</f>
        <v>Polish Cup (road)</v>
      </c>
      <c r="D451" s="12" t="s">
        <v>495</v>
      </c>
      <c r="E451" s="12" t="s">
        <v>396</v>
      </c>
      <c r="F451" s="12" t="s">
        <v>115</v>
      </c>
      <c r="G451" s="12" t="n">
        <v>1</v>
      </c>
      <c r="H451" s="12" t="s">
        <v>366</v>
      </c>
      <c r="I451" s="12"/>
      <c r="J451" s="12" t="s">
        <v>397</v>
      </c>
      <c r="K451" s="12" t="str">
        <f aca="false">IF(A451="","",IFERROR(IF(INDEX(Events!$J$2:$J$67,MATCH(A451,Events!$A$2:$A$67,0))="Yes",IF(ISNUMBER(SEARCH("Criterium final",D451)),"No","Yes"),"No"),""))</f>
        <v>No</v>
      </c>
      <c r="L451" s="12"/>
      <c r="M451" s="12" t="n">
        <f aca="false">IF(OR(A451="",F451=""),0,IF(COUNTIFS($A$2:A451,A451,$F$2:F451,F451)=1,1,0))</f>
        <v>1</v>
      </c>
      <c r="N451" s="12" t="str">
        <f aca="false">IF(A451="","",IFERROR(INDEX(Events!$F$2:$F$67,MATCH(A451,Events!$A$2:$A$67,0)),""))</f>
        <v>POL</v>
      </c>
      <c r="O451" s="12" t="n">
        <f aca="false">IF(AND(G451=1,K451="Yes",N451="POL"),IF(COUNTIFS($A$2:A451,A451,$D$2:D451,D451,$E$2:E451,E451,$G$2:G451,1)=1,1,0),0)</f>
        <v>0</v>
      </c>
      <c r="P451" s="12" t="n">
        <f aca="false">IF(AND(ISNUMBER(G451),K451="Yes",N451="POL"),IF(AND(G451&gt;=1,G451&lt;=3,COUNTIFS($A$2:A451,A451,$D$2:D451,D451,$E$2:E451,E451,$G$2:G451,G451)=1),1,0),0)</f>
        <v>0</v>
      </c>
    </row>
    <row r="452" customFormat="false" ht="15" hidden="false" customHeight="false" outlineLevel="0" collapsed="false">
      <c r="A452" s="12" t="s">
        <v>246</v>
      </c>
      <c r="B452" s="13" t="n">
        <v>46198</v>
      </c>
      <c r="C452" s="12" t="str">
        <f aca="false">IF(A452="","",IFERROR(INDEX(Events!$D$2:$D$67,MATCH(A452,Events!$A$2:$A$67,0)),"Unknown event ID"))</f>
        <v>Polish Road Championships (ITT + road race)</v>
      </c>
      <c r="D452" s="12" t="s">
        <v>387</v>
      </c>
      <c r="E452" s="12" t="s">
        <v>100</v>
      </c>
      <c r="F452" s="12" t="s">
        <v>115</v>
      </c>
      <c r="G452" s="12" t="n">
        <v>3</v>
      </c>
      <c r="H452" s="12" t="s">
        <v>366</v>
      </c>
      <c r="I452" s="12"/>
      <c r="J452" s="12" t="s">
        <v>117</v>
      </c>
      <c r="K452" s="12" t="str">
        <f aca="false">IF(A452="","",IFERROR(IF(INDEX(Events!$J$2:$J$67,MATCH(A452,Events!$A$2:$A$67,0))="Yes",IF(ISNUMBER(SEARCH("Criterium final",D452)),"No","Yes"),"No"),""))</f>
        <v>Yes</v>
      </c>
      <c r="L452" s="12"/>
      <c r="M452" s="12" t="n">
        <f aca="false">IF(OR(A452="",F452=""),0,IF(COUNTIFS($A$2:A452,A452,$F$2:F452,F452)=1,1,0))</f>
        <v>1</v>
      </c>
      <c r="N452" s="12" t="str">
        <f aca="false">IF(A452="","",IFERROR(INDEX(Events!$F$2:$F$67,MATCH(A452,Events!$A$2:$A$67,0)),""))</f>
        <v>POL</v>
      </c>
      <c r="O452" s="12" t="n">
        <f aca="false">IF(AND(G452=1,K452="Yes",N452="POL"),IF(COUNTIFS($A$2:A452,A452,$D$2:D452,D452,$E$2:E452,E452,$G$2:G452,1)=1,1,0),0)</f>
        <v>0</v>
      </c>
      <c r="P452" s="12" t="n">
        <f aca="false">IF(AND(ISNUMBER(G452),K452="Yes",N452="POL"),IF(AND(G452&gt;=1,G452&lt;=3,COUNTIFS($A$2:A452,A452,$D$2:D452,D452,$E$2:E452,E452,$G$2:G452,G452)=1),1,0),0)</f>
        <v>1</v>
      </c>
    </row>
    <row r="453" customFormat="false" ht="15" hidden="false" customHeight="false" outlineLevel="0" collapsed="false">
      <c r="A453" s="12" t="s">
        <v>246</v>
      </c>
      <c r="B453" s="13" t="n">
        <v>46201</v>
      </c>
      <c r="C453" s="12" t="str">
        <f aca="false">IF(A453="","",IFERROR(INDEX(Events!$D$2:$D$67,MATCH(A453,Events!$A$2:$A$67,0)),"Unknown event ID"))</f>
        <v>Polish Road Championships (ITT + road race)</v>
      </c>
      <c r="D453" s="12" t="s">
        <v>367</v>
      </c>
      <c r="E453" s="12" t="s">
        <v>100</v>
      </c>
      <c r="F453" s="12" t="s">
        <v>115</v>
      </c>
      <c r="G453" s="12" t="n">
        <v>17</v>
      </c>
      <c r="H453" s="12" t="s">
        <v>366</v>
      </c>
      <c r="I453" s="12"/>
      <c r="J453" s="12" t="s">
        <v>117</v>
      </c>
      <c r="K453" s="12" t="str">
        <f aca="false">IF(A453="","",IFERROR(IF(INDEX(Events!$J$2:$J$67,MATCH(A453,Events!$A$2:$A$67,0))="Yes",IF(ISNUMBER(SEARCH("Criterium final",D453)),"No","Yes"),"No"),""))</f>
        <v>Yes</v>
      </c>
      <c r="L453" s="12"/>
      <c r="M453" s="12" t="n">
        <f aca="false">IF(OR(A453="",F453=""),0,IF(COUNTIFS($A$2:A453,A453,$F$2:F453,F453)=1,1,0))</f>
        <v>0</v>
      </c>
      <c r="N453" s="12" t="str">
        <f aca="false">IF(A453="","",IFERROR(INDEX(Events!$F$2:$F$67,MATCH(A453,Events!$A$2:$A$67,0)),""))</f>
        <v>POL</v>
      </c>
      <c r="O453" s="12" t="n">
        <f aca="false">IF(AND(G453=1,K453="Yes",N453="POL"),IF(COUNTIFS($A$2:A453,A453,$D$2:D453,D453,$E$2:E453,E453,$G$2:G453,1)=1,1,0),0)</f>
        <v>0</v>
      </c>
      <c r="P453" s="12" t="n">
        <f aca="false">IF(AND(ISNUMBER(G453),K453="Yes",N453="POL"),IF(AND(G453&gt;=1,G453&lt;=3,COUNTIFS($A$2:A453,A453,$D$2:D453,D453,$E$2:E453,E453,$G$2:G453,G453)=1),1,0),0)</f>
        <v>0</v>
      </c>
    </row>
    <row r="454" customFormat="false" ht="15" hidden="false" customHeight="false" outlineLevel="0" collapsed="false">
      <c r="A454" s="12" t="s">
        <v>259</v>
      </c>
      <c r="B454" s="13" t="n">
        <v>46227</v>
      </c>
      <c r="C454" s="12" t="str">
        <f aca="false">IF(A454="","",IFERROR(INDEX(Events!$D$2:$D$67,MATCH(A454,Events!$A$2:$A$67,0)),"Unknown event ID"))</f>
        <v>Watersley Ladies Challenge</v>
      </c>
      <c r="D454" s="12" t="s">
        <v>377</v>
      </c>
      <c r="E454" s="12" t="s">
        <v>99</v>
      </c>
      <c r="F454" s="12" t="s">
        <v>115</v>
      </c>
      <c r="G454" s="12" t="n">
        <v>40</v>
      </c>
      <c r="H454" s="12" t="s">
        <v>366</v>
      </c>
      <c r="I454" s="12"/>
      <c r="J454" s="12" t="s">
        <v>117</v>
      </c>
      <c r="K454" s="12" t="str">
        <f aca="false">IF(A454="","",IFERROR(IF(INDEX(Events!$J$2:$J$67,MATCH(A454,Events!$A$2:$A$67,0))="Yes",IF(ISNUMBER(SEARCH("Criterium final",D454)),"No","Yes"),"No"),""))</f>
        <v>No</v>
      </c>
      <c r="L454" s="12"/>
      <c r="M454" s="12" t="n">
        <f aca="false">IF(OR(A454="",F454=""),0,IF(COUNTIFS($A$2:A454,A454,$F$2:F454,F454)=1,1,0))</f>
        <v>1</v>
      </c>
      <c r="N454" s="12" t="str">
        <f aca="false">IF(A454="","",IFERROR(INDEX(Events!$F$2:$F$67,MATCH(A454,Events!$A$2:$A$67,0)),""))</f>
        <v>NED</v>
      </c>
      <c r="O454" s="12" t="n">
        <f aca="false">IF(AND(G454=1,K454="Yes",N454="POL"),IF(COUNTIFS($A$2:A454,A454,$D$2:D454,D454,$E$2:E454,E454,$G$2:G454,1)=1,1,0),0)</f>
        <v>0</v>
      </c>
      <c r="P454" s="12" t="n">
        <f aca="false">IF(AND(ISNUMBER(G454),K454="Yes",N454="POL"),IF(AND(G454&gt;=1,G454&lt;=3,COUNTIFS($A$2:A454,A454,$D$2:D454,D454,$E$2:E454,E454,$G$2:G454,G454)=1),1,0),0)</f>
        <v>0</v>
      </c>
    </row>
    <row r="455" customFormat="false" ht="15" hidden="false" customHeight="false" outlineLevel="0" collapsed="false">
      <c r="A455" s="12" t="s">
        <v>259</v>
      </c>
      <c r="B455" s="13" t="n">
        <v>46228</v>
      </c>
      <c r="C455" s="12" t="str">
        <f aca="false">IF(A455="","",IFERROR(INDEX(Events!$D$2:$D$67,MATCH(A455,Events!$A$2:$A$67,0)),"Unknown event ID"))</f>
        <v>Watersley Ladies Challenge</v>
      </c>
      <c r="D455" s="12" t="s">
        <v>373</v>
      </c>
      <c r="E455" s="12" t="s">
        <v>99</v>
      </c>
      <c r="F455" s="12" t="s">
        <v>115</v>
      </c>
      <c r="G455" s="12" t="n">
        <v>98</v>
      </c>
      <c r="H455" s="12" t="s">
        <v>366</v>
      </c>
      <c r="I455" s="12"/>
      <c r="J455" s="12" t="s">
        <v>117</v>
      </c>
      <c r="K455" s="12" t="str">
        <f aca="false">IF(A455="","",IFERROR(IF(INDEX(Events!$J$2:$J$67,MATCH(A455,Events!$A$2:$A$67,0))="Yes",IF(ISNUMBER(SEARCH("Criterium final",D455)),"No","Yes"),"No"),""))</f>
        <v>No</v>
      </c>
      <c r="L455" s="12"/>
      <c r="M455" s="12" t="n">
        <f aca="false">IF(OR(A455="",F455=""),0,IF(COUNTIFS($A$2:A455,A455,$F$2:F455,F455)=1,1,0))</f>
        <v>0</v>
      </c>
      <c r="N455" s="12" t="str">
        <f aca="false">IF(A455="","",IFERROR(INDEX(Events!$F$2:$F$67,MATCH(A455,Events!$A$2:$A$67,0)),""))</f>
        <v>NED</v>
      </c>
      <c r="O455" s="12" t="n">
        <f aca="false">IF(AND(G455=1,K455="Yes",N455="POL"),IF(COUNTIFS($A$2:A455,A455,$D$2:D455,D455,$E$2:E455,E455,$G$2:G455,1)=1,1,0),0)</f>
        <v>0</v>
      </c>
      <c r="P455" s="12" t="n">
        <f aca="false">IF(AND(ISNUMBER(G455),K455="Yes",N455="POL"),IF(AND(G455&gt;=1,G455&lt;=3,COUNTIFS($A$2:A455,A455,$D$2:D455,D455,$E$2:E455,E455,$G$2:G455,G455)=1),1,0),0)</f>
        <v>0</v>
      </c>
    </row>
    <row r="456" customFormat="false" ht="15" hidden="false" customHeight="false" outlineLevel="0" collapsed="false">
      <c r="A456" s="12" t="s">
        <v>259</v>
      </c>
      <c r="B456" s="13" t="n">
        <v>46229</v>
      </c>
      <c r="C456" s="12" t="str">
        <f aca="false">IF(A456="","",IFERROR(INDEX(Events!$D$2:$D$67,MATCH(A456,Events!$A$2:$A$67,0)),"Unknown event ID"))</f>
        <v>Watersley Ladies Challenge</v>
      </c>
      <c r="D456" s="12" t="s">
        <v>374</v>
      </c>
      <c r="E456" s="12" t="s">
        <v>99</v>
      </c>
      <c r="F456" s="12" t="s">
        <v>115</v>
      </c>
      <c r="G456" s="12"/>
      <c r="H456" s="12" t="s">
        <v>33</v>
      </c>
      <c r="I456" s="12"/>
      <c r="J456" s="12" t="s">
        <v>117</v>
      </c>
      <c r="K456" s="12" t="str">
        <f aca="false">IF(A456="","",IFERROR(IF(INDEX(Events!$J$2:$J$67,MATCH(A456,Events!$A$2:$A$67,0))="Yes",IF(ISNUMBER(SEARCH("Criterium final",D456)),"No","Yes"),"No"),""))</f>
        <v>No</v>
      </c>
      <c r="L456" s="12"/>
      <c r="M456" s="12" t="n">
        <f aca="false">IF(OR(A456="",F456=""),0,IF(COUNTIFS($A$2:A456,A456,$F$2:F456,F456)=1,1,0))</f>
        <v>0</v>
      </c>
      <c r="N456" s="12" t="str">
        <f aca="false">IF(A456="","",IFERROR(INDEX(Events!$F$2:$F$67,MATCH(A456,Events!$A$2:$A$67,0)),""))</f>
        <v>NED</v>
      </c>
      <c r="O456" s="12" t="n">
        <f aca="false">IF(AND(G456=1,K456="Yes",N456="POL"),IF(COUNTIFS($A$2:A456,A456,$D$2:D456,D456,$E$2:E456,E456,$G$2:G456,1)=1,1,0),0)</f>
        <v>0</v>
      </c>
      <c r="P456" s="12" t="n">
        <f aca="false">IF(AND(ISNUMBER(G456),K456="Yes",N456="POL"),IF(AND(G456&gt;=1,G456&lt;=3,COUNTIFS($A$2:A456,A456,$D$2:D456,D456,$E$2:E456,E456,$G$2:G456,G456)=1),1,0),0)</f>
        <v>0</v>
      </c>
    </row>
    <row r="457" customFormat="false" ht="15" hidden="false" customHeight="false" outlineLevel="0" collapsed="false">
      <c r="A457" s="12" t="s">
        <v>262</v>
      </c>
      <c r="B457" s="13" t="n">
        <v>46242</v>
      </c>
      <c r="C457" s="12" t="str">
        <f aca="false">IF(A457="","",IFERROR(INDEX(Events!$D$2:$D$67,MATCH(A457,Events!$A$2:$A$67,0)),"Unknown event ID"))</f>
        <v>Criterium Grudziądz (Puchar Prezydenta Grudziądza)</v>
      </c>
      <c r="D457" s="12" t="s">
        <v>433</v>
      </c>
      <c r="E457" s="12" t="s">
        <v>99</v>
      </c>
      <c r="F457" s="12" t="s">
        <v>115</v>
      </c>
      <c r="G457" s="12" t="n">
        <v>1</v>
      </c>
      <c r="H457" s="12" t="s">
        <v>366</v>
      </c>
      <c r="I457" s="12"/>
      <c r="J457" s="12" t="s">
        <v>444</v>
      </c>
      <c r="K457" s="12" t="str">
        <f aca="false">IF(A457="","",IFERROR(IF(INDEX(Events!$J$2:$J$67,MATCH(A457,Events!$A$2:$A$67,0))="Yes",IF(ISNUMBER(SEARCH("Criterium final",D457)),"No","Yes"),"No"),""))</f>
        <v>No</v>
      </c>
      <c r="L457" s="12"/>
      <c r="M457" s="12" t="n">
        <f aca="false">IF(OR(A457="",F457=""),0,IF(COUNTIFS($A$2:A457,A457,$F$2:F457,F457)=1,1,0))</f>
        <v>1</v>
      </c>
      <c r="N457" s="12" t="str">
        <f aca="false">IF(A457="","",IFERROR(INDEX(Events!$F$2:$F$67,MATCH(A457,Events!$A$2:$A$67,0)),""))</f>
        <v>POL</v>
      </c>
      <c r="O457" s="12" t="n">
        <f aca="false">IF(AND(G457=1,K457="Yes",N457="POL"),IF(COUNTIFS($A$2:A457,A457,$D$2:D457,D457,$E$2:E457,E457,$G$2:G457,1)=1,1,0),0)</f>
        <v>0</v>
      </c>
      <c r="P457" s="12" t="n">
        <f aca="false">IF(AND(ISNUMBER(G457),K457="Yes",N457="POL"),IF(AND(G457&gt;=1,G457&lt;=3,COUNTIFS($A$2:A457,A457,$D$2:D457,D457,$E$2:E457,E457,$G$2:G457,G457)=1),1,0),0)</f>
        <v>0</v>
      </c>
    </row>
    <row r="458" customFormat="false" ht="15" hidden="false" customHeight="false" outlineLevel="0" collapsed="false">
      <c r="A458" s="12" t="s">
        <v>266</v>
      </c>
      <c r="B458" s="13" t="n">
        <v>46243</v>
      </c>
      <c r="C458" s="12" t="str">
        <f aca="false">IF(A458="","",IFERROR(INDEX(Events!$D$2:$D$67,MATCH(A458,Events!$A$2:$A$67,0)),"Unknown event ID"))</f>
        <v>Kryterium Uliczne – Nagroda Gruczna</v>
      </c>
      <c r="D458" s="12" t="s">
        <v>433</v>
      </c>
      <c r="E458" s="12" t="s">
        <v>99</v>
      </c>
      <c r="F458" s="12" t="s">
        <v>115</v>
      </c>
      <c r="G458" s="12" t="n">
        <v>1</v>
      </c>
      <c r="H458" s="12" t="s">
        <v>366</v>
      </c>
      <c r="I458" s="12"/>
      <c r="J458" s="12" t="s">
        <v>445</v>
      </c>
      <c r="K458" s="12" t="str">
        <f aca="false">IF(A458="","",IFERROR(IF(INDEX(Events!$J$2:$J$67,MATCH(A458,Events!$A$2:$A$67,0))="Yes",IF(ISNUMBER(SEARCH("Criterium final",D458)),"No","Yes"),"No"),""))</f>
        <v>No</v>
      </c>
      <c r="L458" s="12"/>
      <c r="M458" s="12" t="n">
        <f aca="false">IF(OR(A458="",F458=""),0,IF(COUNTIFS($A$2:A458,A458,$F$2:F458,F458)=1,1,0))</f>
        <v>1</v>
      </c>
      <c r="N458" s="12" t="str">
        <f aca="false">IF(A458="","",IFERROR(INDEX(Events!$F$2:$F$67,MATCH(A458,Events!$A$2:$A$67,0)),""))</f>
        <v>POL</v>
      </c>
      <c r="O458" s="12" t="n">
        <f aca="false">IF(AND(G458=1,K458="Yes",N458="POL"),IF(COUNTIFS($A$2:A458,A458,$D$2:D458,D458,$E$2:E458,E458,$G$2:G458,1)=1,1,0),0)</f>
        <v>0</v>
      </c>
      <c r="P458" s="12" t="n">
        <f aca="false">IF(AND(ISNUMBER(G458),K458="Yes",N458="POL"),IF(AND(G458&gt;=1,G458&lt;=3,COUNTIFS($A$2:A458,A458,$D$2:D458,D458,$E$2:E458,E458,$G$2:G458,G458)=1),1,0),0)</f>
        <v>0</v>
      </c>
    </row>
    <row r="459" customFormat="false" ht="15" hidden="false" customHeight="false" outlineLevel="0" collapsed="false">
      <c r="A459" s="12" t="s">
        <v>282</v>
      </c>
      <c r="B459" s="13" t="n">
        <v>46248</v>
      </c>
      <c r="C459" s="12" t="str">
        <f aca="false">IF(A459="","",IFERROR(INDEX(Events!$D$2:$D$67,MATCH(A459,Events!$A$2:$A$67,0)),"Unknown event ID"))</f>
        <v>Górskie Szosowe Mistrzostwa Polski (mountain road champs)</v>
      </c>
      <c r="D459" s="12" t="s">
        <v>423</v>
      </c>
      <c r="E459" s="12" t="s">
        <v>99</v>
      </c>
      <c r="F459" s="12" t="s">
        <v>115</v>
      </c>
      <c r="G459" s="12" t="n">
        <v>2</v>
      </c>
      <c r="H459" s="12" t="s">
        <v>366</v>
      </c>
      <c r="I459" s="12" t="s">
        <v>424</v>
      </c>
      <c r="J459" s="12" t="s">
        <v>418</v>
      </c>
      <c r="K459" s="12" t="str">
        <f aca="false">IF(A459="","",IFERROR(IF(INDEX(Events!$J$2:$J$67,MATCH(A459,Events!$A$2:$A$67,0))="Yes",IF(ISNUMBER(SEARCH("Criterium final",D459)),"No","Yes"),"No"),""))</f>
        <v>Yes</v>
      </c>
      <c r="L459" s="12"/>
      <c r="M459" s="12" t="n">
        <f aca="false">IF(OR(A459="",F459=""),0,IF(COUNTIFS($A$2:A459,A459,$F$2:F459,F459)=1,1,0))</f>
        <v>1</v>
      </c>
      <c r="N459" s="12" t="str">
        <f aca="false">IF(A459="","",IFERROR(INDEX(Events!$F$2:$F$67,MATCH(A459,Events!$A$2:$A$67,0)),""))</f>
        <v>POL</v>
      </c>
      <c r="O459" s="12" t="n">
        <f aca="false">IF(AND(G459=1,K459="Yes",N459="POL"),IF(COUNTIFS($A$2:A459,A459,$D$2:D459,D459,$E$2:E459,E459,$G$2:G459,1)=1,1,0),0)</f>
        <v>0</v>
      </c>
      <c r="P459" s="12" t="n">
        <f aca="false">IF(AND(ISNUMBER(G459),K459="Yes",N459="POL"),IF(AND(G459&gt;=1,G459&lt;=3,COUNTIFS($A$2:A459,A459,$D$2:D459,D459,$E$2:E459,E459,$G$2:G459,G459)=1),1,0),0)</f>
        <v>1</v>
      </c>
    </row>
    <row r="460" customFormat="false" ht="15" hidden="false" customHeight="false" outlineLevel="0" collapsed="false">
      <c r="A460" s="12" t="s">
        <v>344</v>
      </c>
      <c r="B460" s="13" t="n">
        <v>46260</v>
      </c>
      <c r="C460" s="12" t="str">
        <f aca="false">IF(A460="","",IFERROR(INDEX(Events!$D$2:$D$67,MATCH(A460,Events!$A$2:$A$67,0)),"Unknown event ID"))</f>
        <v>Druivenkoers – Overijse (juniors)</v>
      </c>
      <c r="D460" s="12" t="s">
        <v>365</v>
      </c>
      <c r="E460" s="12" t="s">
        <v>99</v>
      </c>
      <c r="F460" s="12" t="s">
        <v>115</v>
      </c>
      <c r="G460" s="12" t="n">
        <v>17</v>
      </c>
      <c r="H460" s="12" t="s">
        <v>366</v>
      </c>
      <c r="I460" s="12"/>
      <c r="J460" s="12" t="s">
        <v>117</v>
      </c>
      <c r="K460" s="12" t="str">
        <f aca="false">IF(A460="","",IFERROR(IF(INDEX(Events!$J$2:$J$67,MATCH(A460,Events!$A$2:$A$67,0))="Yes",IF(ISNUMBER(SEARCH("Criterium final",D460)),"No","Yes"),"No"),""))</f>
        <v>No</v>
      </c>
      <c r="L460" s="12"/>
      <c r="M460" s="12" t="n">
        <f aca="false">IF(OR(A460="",F460=""),0,IF(COUNTIFS($A$2:A460,A460,$F$2:F460,F460)=1,1,0))</f>
        <v>1</v>
      </c>
      <c r="N460" s="12" t="str">
        <f aca="false">IF(A460="","",IFERROR(INDEX(Events!$F$2:$F$67,MATCH(A460,Events!$A$2:$A$67,0)),""))</f>
        <v>BEL</v>
      </c>
      <c r="O460" s="12" t="n">
        <f aca="false">IF(AND(G460=1,K460="Yes",N460="POL"),IF(COUNTIFS($A$2:A460,A460,$D$2:D460,D460,$E$2:E460,E460,$G$2:G460,1)=1,1,0),0)</f>
        <v>0</v>
      </c>
      <c r="P460" s="12" t="n">
        <f aca="false">IF(AND(ISNUMBER(G460),K460="Yes",N460="POL"),IF(AND(G460&gt;=1,G460&lt;=3,COUNTIFS($A$2:A460,A460,$D$2:D460,D460,$E$2:E460,E460,$G$2:G460,G460)=1),1,0),0)</f>
        <v>0</v>
      </c>
    </row>
    <row r="461" customFormat="false" ht="15" hidden="false" customHeight="false" outlineLevel="0" collapsed="false">
      <c r="A461" s="12" t="s">
        <v>285</v>
      </c>
      <c r="B461" s="13" t="n">
        <v>46271</v>
      </c>
      <c r="C461" s="12" t="str">
        <f aca="false">IF(A461="","",IFERROR(INDEX(Events!$D$2:$D$67,MATCH(A461,Events!$A$2:$A$67,0)),"Unknown event ID"))</f>
        <v>55. Ogólnopolskie Kryterium Kolarskie</v>
      </c>
      <c r="D461" s="12" t="s">
        <v>433</v>
      </c>
      <c r="E461" s="12" t="s">
        <v>99</v>
      </c>
      <c r="F461" s="12" t="s">
        <v>115</v>
      </c>
      <c r="G461" s="12" t="n">
        <v>2</v>
      </c>
      <c r="H461" s="12" t="s">
        <v>366</v>
      </c>
      <c r="I461" s="12"/>
      <c r="J461" s="12" t="s">
        <v>461</v>
      </c>
      <c r="K461" s="12" t="str">
        <f aca="false">IF(A461="","",IFERROR(IF(INDEX(Events!$J$2:$J$67,MATCH(A461,Events!$A$2:$A$67,0))="Yes",IF(ISNUMBER(SEARCH("Criterium final",D461)),"No","Yes"),"No"),""))</f>
        <v>No</v>
      </c>
      <c r="L461" s="12"/>
      <c r="M461" s="12" t="n">
        <f aca="false">IF(OR(A461="",F461=""),0,IF(COUNTIFS($A$2:A461,A461,$F$2:F461,F461)=1,1,0))</f>
        <v>1</v>
      </c>
      <c r="N461" s="12" t="str">
        <f aca="false">IF(A461="","",IFERROR(INDEX(Events!$F$2:$F$67,MATCH(A461,Events!$A$2:$A$67,0)),""))</f>
        <v>POL</v>
      </c>
      <c r="O461" s="12" t="n">
        <f aca="false">IF(AND(G461=1,K461="Yes",N461="POL"),IF(COUNTIFS($A$2:A461,A461,$D$2:D461,D461,$E$2:E461,E461,$G$2:G461,1)=1,1,0),0)</f>
        <v>0</v>
      </c>
      <c r="P461" s="12" t="n">
        <f aca="false">IF(AND(ISNUMBER(G461),K461="Yes",N461="POL"),IF(AND(G461&gt;=1,G461&lt;=3,COUNTIFS($A$2:A461,A461,$D$2:D461,D461,$E$2:E461,E461,$G$2:G461,G461)=1),1,0),0)</f>
        <v>0</v>
      </c>
    </row>
    <row r="462" customFormat="false" ht="15" hidden="false" customHeight="false" outlineLevel="0" collapsed="false">
      <c r="A462" s="12" t="s">
        <v>289</v>
      </c>
      <c r="B462" s="13" t="n">
        <v>46277</v>
      </c>
      <c r="C462" s="12" t="str">
        <f aca="false">IF(A462="","",IFERROR(INDEX(Events!$D$2:$D$67,MATCH(A462,Events!$A$2:$A$67,0)),"Unknown event ID"))</f>
        <v>Polish Pairs &amp; Team Time Trial Championships</v>
      </c>
      <c r="D462" s="12" t="s">
        <v>405</v>
      </c>
      <c r="E462" s="12" t="s">
        <v>99</v>
      </c>
      <c r="F462" s="12" t="s">
        <v>115</v>
      </c>
      <c r="G462" s="12" t="n">
        <v>1</v>
      </c>
      <c r="H462" s="12" t="s">
        <v>366</v>
      </c>
      <c r="I462" s="12" t="s">
        <v>488</v>
      </c>
      <c r="J462" s="12" t="s">
        <v>406</v>
      </c>
      <c r="K462" s="12" t="str">
        <f aca="false">IF(A462="","",IFERROR(IF(INDEX(Events!$J$2:$J$67,MATCH(A462,Events!$A$2:$A$67,0))="Yes",IF(ISNUMBER(SEARCH("Criterium final",D462)),"No","Yes"),"No"),""))</f>
        <v>Yes</v>
      </c>
      <c r="L462" s="12"/>
      <c r="M462" s="12" t="n">
        <f aca="false">IF(OR(A462="",F462=""),0,IF(COUNTIFS($A$2:A462,A462,$F$2:F462,F462)=1,1,0))</f>
        <v>1</v>
      </c>
      <c r="N462" s="12" t="str">
        <f aca="false">IF(A462="","",IFERROR(INDEX(Events!$F$2:$F$67,MATCH(A462,Events!$A$2:$A$67,0)),""))</f>
        <v>POL</v>
      </c>
      <c r="O462" s="12" t="n">
        <f aca="false">IF(AND(G462=1,K462="Yes",N462="POL"),IF(COUNTIFS($A$2:A462,A462,$D$2:D462,D462,$E$2:E462,E462,$G$2:G462,1)=1,1,0),0)</f>
        <v>0</v>
      </c>
      <c r="P462" s="12" t="n">
        <f aca="false">IF(AND(ISNUMBER(G462),K462="Yes",N462="POL"),IF(AND(G462&gt;=1,G462&lt;=3,COUNTIFS($A$2:A462,A462,$D$2:D462,D462,$E$2:E462,E462,$G$2:G462,G462)=1),1,0),0)</f>
        <v>0</v>
      </c>
    </row>
    <row r="463" customFormat="false" ht="15" hidden="false" customHeight="false" outlineLevel="0" collapsed="false">
      <c r="A463" s="12" t="s">
        <v>289</v>
      </c>
      <c r="B463" s="13" t="n">
        <v>46278</v>
      </c>
      <c r="C463" s="12" t="str">
        <f aca="false">IF(A463="","",IFERROR(INDEX(Events!$D$2:$D$67,MATCH(A463,Events!$A$2:$A$67,0)),"Unknown event ID"))</f>
        <v>Polish Pairs &amp; Team Time Trial Championships</v>
      </c>
      <c r="D463" s="12" t="s">
        <v>407</v>
      </c>
      <c r="E463" s="12" t="s">
        <v>99</v>
      </c>
      <c r="F463" s="12" t="s">
        <v>115</v>
      </c>
      <c r="G463" s="12" t="n">
        <v>1</v>
      </c>
      <c r="H463" s="12" t="s">
        <v>366</v>
      </c>
      <c r="I463" s="12" t="s">
        <v>496</v>
      </c>
      <c r="J463" s="12" t="s">
        <v>409</v>
      </c>
      <c r="K463" s="12" t="str">
        <f aca="false">IF(A463="","",IFERROR(IF(INDEX(Events!$J$2:$J$67,MATCH(A463,Events!$A$2:$A$67,0))="Yes",IF(ISNUMBER(SEARCH("Criterium final",D463)),"No","Yes"),"No"),""))</f>
        <v>Yes</v>
      </c>
      <c r="L463" s="12"/>
      <c r="M463" s="12" t="n">
        <f aca="false">IF(OR(A463="",F463=""),0,IF(COUNTIFS($A$2:A463,A463,$F$2:F463,F463)=1,1,0))</f>
        <v>0</v>
      </c>
      <c r="N463" s="12" t="str">
        <f aca="false">IF(A463="","",IFERROR(INDEX(Events!$F$2:$F$67,MATCH(A463,Events!$A$2:$A$67,0)),""))</f>
        <v>POL</v>
      </c>
      <c r="O463" s="12" t="n">
        <f aca="false">IF(AND(G463=1,K463="Yes",N463="POL"),IF(COUNTIFS($A$2:A463,A463,$D$2:D463,D463,$E$2:E463,E463,$G$2:G463,1)=1,1,0),0)</f>
        <v>0</v>
      </c>
      <c r="P463" s="12" t="n">
        <f aca="false">IF(AND(ISNUMBER(G463),K463="Yes",N463="POL"),IF(AND(G463&gt;=1,G463&lt;=3,COUNTIFS($A$2:A463,A463,$D$2:D463,D463,$E$2:E463,E463,$G$2:G463,G463)=1),1,0),0)</f>
        <v>0</v>
      </c>
    </row>
    <row r="464" customFormat="false" ht="15" hidden="false" customHeight="false" outlineLevel="0" collapsed="false">
      <c r="A464" s="12" t="s">
        <v>296</v>
      </c>
      <c r="B464" s="13" t="n">
        <v>46285</v>
      </c>
      <c r="C464" s="12" t="str">
        <f aca="false">IF(A464="","",IFERROR(INDEX(Events!$D$2:$D$67,MATCH(A464,Events!$A$2:$A$67,0)),"Unknown event ID"))</f>
        <v>Memoriał im. Stanisława Szozdy – MP criterium final</v>
      </c>
      <c r="D464" s="12" t="s">
        <v>447</v>
      </c>
      <c r="E464" s="12" t="s">
        <v>99</v>
      </c>
      <c r="F464" s="12" t="s">
        <v>115</v>
      </c>
      <c r="G464" s="12" t="n">
        <v>1</v>
      </c>
      <c r="H464" s="12" t="s">
        <v>366</v>
      </c>
      <c r="I464" s="12" t="s">
        <v>497</v>
      </c>
      <c r="J464" s="12" t="s">
        <v>429</v>
      </c>
      <c r="K464" s="12" t="str">
        <f aca="false">IF(A464="","",IFERROR(IF(INDEX(Events!$J$2:$J$67,MATCH(A464,Events!$A$2:$A$67,0))="Yes",IF(ISNUMBER(SEARCH("Criterium final",D464)),"No","Yes"),"No"),""))</f>
        <v>Yes</v>
      </c>
      <c r="L464" s="12"/>
      <c r="M464" s="12" t="n">
        <f aca="false">IF(OR(A464="",F464=""),0,IF(COUNTIFS($A$2:A464,A464,$F$2:F464,F464)=1,1,0))</f>
        <v>1</v>
      </c>
      <c r="N464" s="12" t="str">
        <f aca="false">IF(A464="","",IFERROR(INDEX(Events!$F$2:$F$67,MATCH(A464,Events!$A$2:$A$67,0)),""))</f>
        <v>POL</v>
      </c>
      <c r="O464" s="12" t="n">
        <f aca="false">IF(AND(G464=1,K464="Yes",N464="POL"),IF(COUNTIFS($A$2:A464,A464,$D$2:D464,D464,$E$2:E464,E464,$G$2:G464,1)=1,1,0),0)</f>
        <v>1</v>
      </c>
      <c r="P464" s="12" t="n">
        <f aca="false">IF(AND(ISNUMBER(G464),K464="Yes",N464="POL"),IF(AND(G464&gt;=1,G464&lt;=3,COUNTIFS($A$2:A464,A464,$D$2:D464,D464,$E$2:E464,E464,$G$2:G464,G464)=1),1,0),0)</f>
        <v>1</v>
      </c>
    </row>
    <row r="465" customFormat="false" ht="15" hidden="false" customHeight="false" outlineLevel="0" collapsed="false">
      <c r="A465" s="12" t="s">
        <v>346</v>
      </c>
      <c r="B465" s="13" t="n">
        <v>46290</v>
      </c>
      <c r="C465" s="12" t="str">
        <f aca="false">IF(A465="","",IFERROR(INDEX(Events!$D$2:$D$67,MATCH(A465,Events!$A$2:$A$67,0)),"Unknown event ID"))</f>
        <v>UCI Road World Championships</v>
      </c>
      <c r="D465" s="12" t="s">
        <v>367</v>
      </c>
      <c r="E465" s="12" t="s">
        <v>100</v>
      </c>
      <c r="F465" s="12" t="s">
        <v>115</v>
      </c>
      <c r="G465" s="12" t="n">
        <v>41</v>
      </c>
      <c r="H465" s="12" t="s">
        <v>366</v>
      </c>
      <c r="I465" s="12"/>
      <c r="J465" s="12" t="s">
        <v>117</v>
      </c>
      <c r="K465" s="12" t="str">
        <f aca="false">IF(A465="","",IFERROR(IF(INDEX(Events!$J$2:$J$67,MATCH(A465,Events!$A$2:$A$67,0))="Yes",IF(ISNUMBER(SEARCH("Criterium final",D465)),"No","Yes"),"No"),""))</f>
        <v>No</v>
      </c>
      <c r="L465" s="12"/>
      <c r="M465" s="12" t="n">
        <f aca="false">IF(OR(A465="",F465=""),0,IF(COUNTIFS($A$2:A465,A465,$F$2:F465,F465)=1,1,0))</f>
        <v>1</v>
      </c>
      <c r="N465" s="12" t="str">
        <f aca="false">IF(A465="","",IFERROR(INDEX(Events!$F$2:$F$67,MATCH(A465,Events!$A$2:$A$67,0)),""))</f>
        <v>CAN</v>
      </c>
      <c r="O465" s="12" t="n">
        <f aca="false">IF(AND(G465=1,K465="Yes",N465="POL"),IF(COUNTIFS($A$2:A465,A465,$D$2:D465,D465,$E$2:E465,E465,$G$2:G465,1)=1,1,0),0)</f>
        <v>0</v>
      </c>
      <c r="P465" s="12" t="n">
        <f aca="false">IF(AND(ISNUMBER(G465),K465="Yes",N465="POL"),IF(AND(G465&gt;=1,G465&lt;=3,COUNTIFS($A$2:A465,A465,$D$2:D465,D465,$E$2:E465,E465,$G$2:G465,G465)=1),1,0),0)</f>
        <v>0</v>
      </c>
    </row>
    <row r="466" customFormat="false" ht="15" hidden="false" customHeight="false" outlineLevel="0" collapsed="false">
      <c r="A466" s="12" t="s">
        <v>204</v>
      </c>
      <c r="B466" s="13" t="n">
        <v>46137</v>
      </c>
      <c r="C466" s="12" t="str">
        <f aca="false">IF(A466="","",IFERROR(INDEX(Events!$D$2:$D$67,MATCH(A466,Events!$A$2:$A$67,0)),"Unknown event ID"))</f>
        <v>Polish Cup (road)</v>
      </c>
      <c r="D466" s="12" t="s">
        <v>391</v>
      </c>
      <c r="E466" s="12" t="s">
        <v>99</v>
      </c>
      <c r="F466" s="12" t="s">
        <v>118</v>
      </c>
      <c r="G466" s="12" t="n">
        <v>1</v>
      </c>
      <c r="H466" s="12" t="s">
        <v>366</v>
      </c>
      <c r="I466" s="12"/>
      <c r="J466" s="12" t="s">
        <v>392</v>
      </c>
      <c r="K466" s="12" t="str">
        <f aca="false">IF(A466="","",IFERROR(IF(INDEX(Events!$J$2:$J$67,MATCH(A466,Events!$A$2:$A$67,0))="Yes",IF(ISNUMBER(SEARCH("Criterium final",D466)),"No","Yes"),"No"),""))</f>
        <v>No</v>
      </c>
      <c r="L466" s="12"/>
      <c r="M466" s="12" t="n">
        <f aca="false">IF(OR(A466="",F466=""),0,IF(COUNTIFS($A$2:A466,A466,$F$2:F466,F466)=1,1,0))</f>
        <v>1</v>
      </c>
      <c r="N466" s="12" t="str">
        <f aca="false">IF(A466="","",IFERROR(INDEX(Events!$F$2:$F$67,MATCH(A466,Events!$A$2:$A$67,0)),""))</f>
        <v>POL</v>
      </c>
      <c r="O466" s="12" t="n">
        <f aca="false">IF(AND(G466=1,K466="Yes",N466="POL"),IF(COUNTIFS($A$2:A466,A466,$D$2:D466,D466,$E$2:E466,E466,$G$2:G466,1)=1,1,0),0)</f>
        <v>0</v>
      </c>
      <c r="P466" s="12" t="n">
        <f aca="false">IF(AND(ISNUMBER(G466),K466="Yes",N466="POL"),IF(AND(G466&gt;=1,G466&lt;=3,COUNTIFS($A$2:A466,A466,$D$2:D466,D466,$E$2:E466,E466,$G$2:G466,G466)=1),1,0),0)</f>
        <v>0</v>
      </c>
    </row>
    <row r="467" customFormat="false" ht="15" hidden="false" customHeight="false" outlineLevel="0" collapsed="false">
      <c r="A467" s="12" t="s">
        <v>246</v>
      </c>
      <c r="B467" s="13" t="n">
        <v>46198</v>
      </c>
      <c r="C467" s="12" t="str">
        <f aca="false">IF(A467="","",IFERROR(INDEX(Events!$D$2:$D$67,MATCH(A467,Events!$A$2:$A$67,0)),"Unknown event ID"))</f>
        <v>Polish Road Championships (ITT + road race)</v>
      </c>
      <c r="D467" s="12" t="s">
        <v>387</v>
      </c>
      <c r="E467" s="12" t="s">
        <v>100</v>
      </c>
      <c r="F467" s="12" t="s">
        <v>118</v>
      </c>
      <c r="G467" s="12" t="n">
        <v>8</v>
      </c>
      <c r="H467" s="12" t="s">
        <v>366</v>
      </c>
      <c r="I467" s="12"/>
      <c r="J467" s="12" t="s">
        <v>120</v>
      </c>
      <c r="K467" s="12" t="str">
        <f aca="false">IF(A467="","",IFERROR(IF(INDEX(Events!$J$2:$J$67,MATCH(A467,Events!$A$2:$A$67,0))="Yes",IF(ISNUMBER(SEARCH("Criterium final",D467)),"No","Yes"),"No"),""))</f>
        <v>Yes</v>
      </c>
      <c r="L467" s="12"/>
      <c r="M467" s="12" t="n">
        <f aca="false">IF(OR(A467="",F467=""),0,IF(COUNTIFS($A$2:A467,A467,$F$2:F467,F467)=1,1,0))</f>
        <v>1</v>
      </c>
      <c r="N467" s="12" t="str">
        <f aca="false">IF(A467="","",IFERROR(INDEX(Events!$F$2:$F$67,MATCH(A467,Events!$A$2:$A$67,0)),""))</f>
        <v>POL</v>
      </c>
      <c r="O467" s="12" t="n">
        <f aca="false">IF(AND(G467=1,K467="Yes",N467="POL"),IF(COUNTIFS($A$2:A467,A467,$D$2:D467,D467,$E$2:E467,E467,$G$2:G467,1)=1,1,0),0)</f>
        <v>0</v>
      </c>
      <c r="P467" s="12" t="n">
        <f aca="false">IF(AND(ISNUMBER(G467),K467="Yes",N467="POL"),IF(AND(G467&gt;=1,G467&lt;=3,COUNTIFS($A$2:A467,A467,$D$2:D467,D467,$E$2:E467,E467,$G$2:G467,G467)=1),1,0),0)</f>
        <v>0</v>
      </c>
    </row>
    <row r="468" customFormat="false" ht="15" hidden="false" customHeight="false" outlineLevel="0" collapsed="false">
      <c r="A468" s="12" t="s">
        <v>246</v>
      </c>
      <c r="B468" s="13" t="n">
        <v>46201</v>
      </c>
      <c r="C468" s="12" t="str">
        <f aca="false">IF(A468="","",IFERROR(INDEX(Events!$D$2:$D$67,MATCH(A468,Events!$A$2:$A$67,0)),"Unknown event ID"))</f>
        <v>Polish Road Championships (ITT + road race)</v>
      </c>
      <c r="D468" s="12" t="s">
        <v>367</v>
      </c>
      <c r="E468" s="12" t="s">
        <v>100</v>
      </c>
      <c r="F468" s="12" t="s">
        <v>118</v>
      </c>
      <c r="G468" s="12" t="n">
        <v>1</v>
      </c>
      <c r="H468" s="12" t="s">
        <v>366</v>
      </c>
      <c r="I468" s="12" t="s">
        <v>498</v>
      </c>
      <c r="J468" s="12" t="s">
        <v>499</v>
      </c>
      <c r="K468" s="12" t="str">
        <f aca="false">IF(A468="","",IFERROR(IF(INDEX(Events!$J$2:$J$67,MATCH(A468,Events!$A$2:$A$67,0))="Yes",IF(ISNUMBER(SEARCH("Criterium final",D468)),"No","Yes"),"No"),""))</f>
        <v>Yes</v>
      </c>
      <c r="L468" s="12"/>
      <c r="M468" s="12" t="n">
        <f aca="false">IF(OR(A468="",F468=""),0,IF(COUNTIFS($A$2:A468,A468,$F$2:F468,F468)=1,1,0))</f>
        <v>0</v>
      </c>
      <c r="N468" s="12" t="str">
        <f aca="false">IF(A468="","",IFERROR(INDEX(Events!$F$2:$F$67,MATCH(A468,Events!$A$2:$A$67,0)),""))</f>
        <v>POL</v>
      </c>
      <c r="O468" s="12" t="n">
        <f aca="false">IF(AND(G468=1,K468="Yes",N468="POL"),IF(COUNTIFS($A$2:A468,A468,$D$2:D468,D468,$E$2:E468,E468,$G$2:G468,1)=1,1,0),0)</f>
        <v>1</v>
      </c>
      <c r="P468" s="12" t="n">
        <f aca="false">IF(AND(ISNUMBER(G468),K468="Yes",N468="POL"),IF(AND(G468&gt;=1,G468&lt;=3,COUNTIFS($A$2:A468,A468,$D$2:D468,D468,$E$2:E468,E468,$G$2:G468,G468)=1),1,0),0)</f>
        <v>1</v>
      </c>
    </row>
    <row r="469" customFormat="false" ht="15" hidden="false" customHeight="false" outlineLevel="0" collapsed="false">
      <c r="A469" s="12" t="s">
        <v>259</v>
      </c>
      <c r="B469" s="13" t="n">
        <v>46227</v>
      </c>
      <c r="C469" s="12" t="str">
        <f aca="false">IF(A469="","",IFERROR(INDEX(Events!$D$2:$D$67,MATCH(A469,Events!$A$2:$A$67,0)),"Unknown event ID"))</f>
        <v>Watersley Ladies Challenge</v>
      </c>
      <c r="D469" s="12" t="s">
        <v>377</v>
      </c>
      <c r="E469" s="12" t="s">
        <v>99</v>
      </c>
      <c r="F469" s="12" t="s">
        <v>118</v>
      </c>
      <c r="G469" s="12" t="n">
        <v>73</v>
      </c>
      <c r="H469" s="12" t="s">
        <v>366</v>
      </c>
      <c r="I469" s="12"/>
      <c r="J469" s="12" t="s">
        <v>120</v>
      </c>
      <c r="K469" s="12" t="str">
        <f aca="false">IF(A469="","",IFERROR(IF(INDEX(Events!$J$2:$J$67,MATCH(A469,Events!$A$2:$A$67,0))="Yes",IF(ISNUMBER(SEARCH("Criterium final",D469)),"No","Yes"),"No"),""))</f>
        <v>No</v>
      </c>
      <c r="L469" s="12"/>
      <c r="M469" s="12" t="n">
        <f aca="false">IF(OR(A469="",F469=""),0,IF(COUNTIFS($A$2:A469,A469,$F$2:F469,F469)=1,1,0))</f>
        <v>1</v>
      </c>
      <c r="N469" s="12" t="str">
        <f aca="false">IF(A469="","",IFERROR(INDEX(Events!$F$2:$F$67,MATCH(A469,Events!$A$2:$A$67,0)),""))</f>
        <v>NED</v>
      </c>
      <c r="O469" s="12" t="n">
        <f aca="false">IF(AND(G469=1,K469="Yes",N469="POL"),IF(COUNTIFS($A$2:A469,A469,$D$2:D469,D469,$E$2:E469,E469,$G$2:G469,1)=1,1,0),0)</f>
        <v>0</v>
      </c>
      <c r="P469" s="12" t="n">
        <f aca="false">IF(AND(ISNUMBER(G469),K469="Yes",N469="POL"),IF(AND(G469&gt;=1,G469&lt;=3,COUNTIFS($A$2:A469,A469,$D$2:D469,D469,$E$2:E469,E469,$G$2:G469,G469)=1),1,0),0)</f>
        <v>0</v>
      </c>
    </row>
    <row r="470" customFormat="false" ht="15" hidden="false" customHeight="false" outlineLevel="0" collapsed="false">
      <c r="A470" s="12" t="s">
        <v>259</v>
      </c>
      <c r="B470" s="13" t="n">
        <v>46228</v>
      </c>
      <c r="C470" s="12" t="str">
        <f aca="false">IF(A470="","",IFERROR(INDEX(Events!$D$2:$D$67,MATCH(A470,Events!$A$2:$A$67,0)),"Unknown event ID"))</f>
        <v>Watersley Ladies Challenge</v>
      </c>
      <c r="D470" s="12" t="s">
        <v>373</v>
      </c>
      <c r="E470" s="12" t="s">
        <v>99</v>
      </c>
      <c r="F470" s="12" t="s">
        <v>118</v>
      </c>
      <c r="G470" s="12" t="n">
        <v>82</v>
      </c>
      <c r="H470" s="12" t="s">
        <v>366</v>
      </c>
      <c r="I470" s="12"/>
      <c r="J470" s="12" t="s">
        <v>120</v>
      </c>
      <c r="K470" s="12" t="str">
        <f aca="false">IF(A470="","",IFERROR(IF(INDEX(Events!$J$2:$J$67,MATCH(A470,Events!$A$2:$A$67,0))="Yes",IF(ISNUMBER(SEARCH("Criterium final",D470)),"No","Yes"),"No"),""))</f>
        <v>No</v>
      </c>
      <c r="L470" s="12"/>
      <c r="M470" s="12" t="n">
        <f aca="false">IF(OR(A470="",F470=""),0,IF(COUNTIFS($A$2:A470,A470,$F$2:F470,F470)=1,1,0))</f>
        <v>0</v>
      </c>
      <c r="N470" s="12" t="str">
        <f aca="false">IF(A470="","",IFERROR(INDEX(Events!$F$2:$F$67,MATCH(A470,Events!$A$2:$A$67,0)),""))</f>
        <v>NED</v>
      </c>
      <c r="O470" s="12" t="n">
        <f aca="false">IF(AND(G470=1,K470="Yes",N470="POL"),IF(COUNTIFS($A$2:A470,A470,$D$2:D470,D470,$E$2:E470,E470,$G$2:G470,1)=1,1,0),0)</f>
        <v>0</v>
      </c>
      <c r="P470" s="12" t="n">
        <f aca="false">IF(AND(ISNUMBER(G470),K470="Yes",N470="POL"),IF(AND(G470&gt;=1,G470&lt;=3,COUNTIFS($A$2:A470,A470,$D$2:D470,D470,$E$2:E470,E470,$G$2:G470,G470)=1),1,0),0)</f>
        <v>0</v>
      </c>
    </row>
    <row r="471" customFormat="false" ht="15" hidden="false" customHeight="false" outlineLevel="0" collapsed="false">
      <c r="A471" s="12" t="s">
        <v>259</v>
      </c>
      <c r="B471" s="13" t="n">
        <v>46229</v>
      </c>
      <c r="C471" s="12" t="str">
        <f aca="false">IF(A471="","",IFERROR(INDEX(Events!$D$2:$D$67,MATCH(A471,Events!$A$2:$A$67,0)),"Unknown event ID"))</f>
        <v>Watersley Ladies Challenge</v>
      </c>
      <c r="D471" s="12" t="s">
        <v>374</v>
      </c>
      <c r="E471" s="12" t="s">
        <v>99</v>
      </c>
      <c r="F471" s="12" t="s">
        <v>118</v>
      </c>
      <c r="G471" s="12"/>
      <c r="H471" s="12" t="s">
        <v>33</v>
      </c>
      <c r="I471" s="12"/>
      <c r="J471" s="12" t="s">
        <v>120</v>
      </c>
      <c r="K471" s="12" t="str">
        <f aca="false">IF(A471="","",IFERROR(IF(INDEX(Events!$J$2:$J$67,MATCH(A471,Events!$A$2:$A$67,0))="Yes",IF(ISNUMBER(SEARCH("Criterium final",D471)),"No","Yes"),"No"),""))</f>
        <v>No</v>
      </c>
      <c r="L471" s="12"/>
      <c r="M471" s="12" t="n">
        <f aca="false">IF(OR(A471="",F471=""),0,IF(COUNTIFS($A$2:A471,A471,$F$2:F471,F471)=1,1,0))</f>
        <v>0</v>
      </c>
      <c r="N471" s="12" t="str">
        <f aca="false">IF(A471="","",IFERROR(INDEX(Events!$F$2:$F$67,MATCH(A471,Events!$A$2:$A$67,0)),""))</f>
        <v>NED</v>
      </c>
      <c r="O471" s="12" t="n">
        <f aca="false">IF(AND(G471=1,K471="Yes",N471="POL"),IF(COUNTIFS($A$2:A471,A471,$D$2:D471,D471,$E$2:E471,E471,$G$2:G471,1)=1,1,0),0)</f>
        <v>0</v>
      </c>
      <c r="P471" s="12" t="n">
        <f aca="false">IF(AND(ISNUMBER(G471),K471="Yes",N471="POL"),IF(AND(G471&gt;=1,G471&lt;=3,COUNTIFS($A$2:A471,A471,$D$2:D471,D471,$E$2:E471,E471,$G$2:G471,G471)=1),1,0),0)</f>
        <v>0</v>
      </c>
    </row>
    <row r="472" customFormat="false" ht="15" hidden="false" customHeight="false" outlineLevel="0" collapsed="false">
      <c r="A472" s="12" t="s">
        <v>344</v>
      </c>
      <c r="B472" s="13" t="n">
        <v>46260</v>
      </c>
      <c r="C472" s="12" t="str">
        <f aca="false">IF(A472="","",IFERROR(INDEX(Events!$D$2:$D$67,MATCH(A472,Events!$A$2:$A$67,0)),"Unknown event ID"))</f>
        <v>Druivenkoers – Overijse (juniors)</v>
      </c>
      <c r="D472" s="12" t="s">
        <v>365</v>
      </c>
      <c r="E472" s="12" t="s">
        <v>99</v>
      </c>
      <c r="F472" s="12" t="s">
        <v>118</v>
      </c>
      <c r="G472" s="12" t="n">
        <v>70</v>
      </c>
      <c r="H472" s="12" t="s">
        <v>366</v>
      </c>
      <c r="I472" s="12"/>
      <c r="J472" s="12" t="s">
        <v>120</v>
      </c>
      <c r="K472" s="12" t="str">
        <f aca="false">IF(A472="","",IFERROR(IF(INDEX(Events!$J$2:$J$67,MATCH(A472,Events!$A$2:$A$67,0))="Yes",IF(ISNUMBER(SEARCH("Criterium final",D472)),"No","Yes"),"No"),""))</f>
        <v>No</v>
      </c>
      <c r="L472" s="12"/>
      <c r="M472" s="12" t="n">
        <f aca="false">IF(OR(A472="",F472=""),0,IF(COUNTIFS($A$2:A472,A472,$F$2:F472,F472)=1,1,0))</f>
        <v>1</v>
      </c>
      <c r="N472" s="12" t="str">
        <f aca="false">IF(A472="","",IFERROR(INDEX(Events!$F$2:$F$67,MATCH(A472,Events!$A$2:$A$67,0)),""))</f>
        <v>BEL</v>
      </c>
      <c r="O472" s="12" t="n">
        <f aca="false">IF(AND(G472=1,K472="Yes",N472="POL"),IF(COUNTIFS($A$2:A472,A472,$D$2:D472,D472,$E$2:E472,E472,$G$2:G472,1)=1,1,0),0)</f>
        <v>0</v>
      </c>
      <c r="P472" s="12" t="n">
        <f aca="false">IF(AND(ISNUMBER(G472),K472="Yes",N472="POL"),IF(AND(G472&gt;=1,G472&lt;=3,COUNTIFS($A$2:A472,A472,$D$2:D472,D472,$E$2:E472,E472,$G$2:G472,G472)=1),1,0),0)</f>
        <v>0</v>
      </c>
    </row>
    <row r="473" customFormat="false" ht="15" hidden="false" customHeight="false" outlineLevel="0" collapsed="false">
      <c r="A473" s="12" t="s">
        <v>285</v>
      </c>
      <c r="B473" s="13" t="n">
        <v>46271</v>
      </c>
      <c r="C473" s="12" t="str">
        <f aca="false">IF(A473="","",IFERROR(INDEX(Events!$D$2:$D$67,MATCH(A473,Events!$A$2:$A$67,0)),"Unknown event ID"))</f>
        <v>55. Ogólnopolskie Kryterium Kolarskie</v>
      </c>
      <c r="D473" s="12" t="s">
        <v>433</v>
      </c>
      <c r="E473" s="12" t="s">
        <v>99</v>
      </c>
      <c r="F473" s="12" t="s">
        <v>118</v>
      </c>
      <c r="G473" s="12" t="n">
        <v>3</v>
      </c>
      <c r="H473" s="12" t="s">
        <v>366</v>
      </c>
      <c r="I473" s="12"/>
      <c r="J473" s="12" t="s">
        <v>461</v>
      </c>
      <c r="K473" s="12" t="str">
        <f aca="false">IF(A473="","",IFERROR(IF(INDEX(Events!$J$2:$J$67,MATCH(A473,Events!$A$2:$A$67,0))="Yes",IF(ISNUMBER(SEARCH("Criterium final",D473)),"No","Yes"),"No"),""))</f>
        <v>No</v>
      </c>
      <c r="L473" s="12"/>
      <c r="M473" s="12" t="n">
        <f aca="false">IF(OR(A473="",F473=""),0,IF(COUNTIFS($A$2:A473,A473,$F$2:F473,F473)=1,1,0))</f>
        <v>1</v>
      </c>
      <c r="N473" s="12" t="str">
        <f aca="false">IF(A473="","",IFERROR(INDEX(Events!$F$2:$F$67,MATCH(A473,Events!$A$2:$A$67,0)),""))</f>
        <v>POL</v>
      </c>
      <c r="O473" s="12" t="n">
        <f aca="false">IF(AND(G473=1,K473="Yes",N473="POL"),IF(COUNTIFS($A$2:A473,A473,$D$2:D473,D473,$E$2:E473,E473,$G$2:G473,1)=1,1,0),0)</f>
        <v>0</v>
      </c>
      <c r="P473" s="12" t="n">
        <f aca="false">IF(AND(ISNUMBER(G473),K473="Yes",N473="POL"),IF(AND(G473&gt;=1,G473&lt;=3,COUNTIFS($A$2:A473,A473,$D$2:D473,D473,$E$2:E473,E473,$G$2:G473,G473)=1),1,0),0)</f>
        <v>0</v>
      </c>
    </row>
    <row r="474" customFormat="false" ht="15" hidden="false" customHeight="false" outlineLevel="0" collapsed="false">
      <c r="A474" s="12" t="s">
        <v>289</v>
      </c>
      <c r="B474" s="13" t="n">
        <v>46277</v>
      </c>
      <c r="C474" s="12" t="str">
        <f aca="false">IF(A474="","",IFERROR(INDEX(Events!$D$2:$D$67,MATCH(A474,Events!$A$2:$A$67,0)),"Unknown event ID"))</f>
        <v>Polish Pairs &amp; Team Time Trial Championships</v>
      </c>
      <c r="D474" s="12" t="s">
        <v>405</v>
      </c>
      <c r="E474" s="12" t="s">
        <v>99</v>
      </c>
      <c r="F474" s="12" t="s">
        <v>118</v>
      </c>
      <c r="G474" s="12" t="n">
        <v>3</v>
      </c>
      <c r="H474" s="12" t="s">
        <v>366</v>
      </c>
      <c r="I474" s="12" t="s">
        <v>483</v>
      </c>
      <c r="J474" s="12" t="s">
        <v>406</v>
      </c>
      <c r="K474" s="12" t="str">
        <f aca="false">IF(A474="","",IFERROR(IF(INDEX(Events!$J$2:$J$67,MATCH(A474,Events!$A$2:$A$67,0))="Yes",IF(ISNUMBER(SEARCH("Criterium final",D474)),"No","Yes"),"No"),""))</f>
        <v>Yes</v>
      </c>
      <c r="L474" s="12"/>
      <c r="M474" s="12" t="n">
        <f aca="false">IF(OR(A474="",F474=""),0,IF(COUNTIFS($A$2:A474,A474,$F$2:F474,F474)=1,1,0))</f>
        <v>1</v>
      </c>
      <c r="N474" s="12" t="str">
        <f aca="false">IF(A474="","",IFERROR(INDEX(Events!$F$2:$F$67,MATCH(A474,Events!$A$2:$A$67,0)),""))</f>
        <v>POL</v>
      </c>
      <c r="O474" s="12" t="n">
        <f aca="false">IF(AND(G474=1,K474="Yes",N474="POL"),IF(COUNTIFS($A$2:A474,A474,$D$2:D474,D474,$E$2:E474,E474,$G$2:G474,1)=1,1,0),0)</f>
        <v>0</v>
      </c>
      <c r="P474" s="12" t="n">
        <f aca="false">IF(AND(ISNUMBER(G474),K474="Yes",N474="POL"),IF(AND(G474&gt;=1,G474&lt;=3,COUNTIFS($A$2:A474,A474,$D$2:D474,D474,$E$2:E474,E474,$G$2:G474,G474)=1),1,0),0)</f>
        <v>0</v>
      </c>
    </row>
    <row r="475" customFormat="false" ht="15" hidden="false" customHeight="false" outlineLevel="0" collapsed="false">
      <c r="A475" s="12" t="s">
        <v>289</v>
      </c>
      <c r="B475" s="13" t="n">
        <v>46278</v>
      </c>
      <c r="C475" s="12" t="str">
        <f aca="false">IF(A475="","",IFERROR(INDEX(Events!$D$2:$D$67,MATCH(A475,Events!$A$2:$A$67,0)),"Unknown event ID"))</f>
        <v>Polish Pairs &amp; Team Time Trial Championships</v>
      </c>
      <c r="D475" s="12" t="s">
        <v>407</v>
      </c>
      <c r="E475" s="12" t="s">
        <v>99</v>
      </c>
      <c r="F475" s="12" t="s">
        <v>118</v>
      </c>
      <c r="G475" s="12" t="n">
        <v>1</v>
      </c>
      <c r="H475" s="12" t="s">
        <v>366</v>
      </c>
      <c r="I475" s="12" t="s">
        <v>500</v>
      </c>
      <c r="J475" s="12" t="s">
        <v>409</v>
      </c>
      <c r="K475" s="12" t="str">
        <f aca="false">IF(A475="","",IFERROR(IF(INDEX(Events!$J$2:$J$67,MATCH(A475,Events!$A$2:$A$67,0))="Yes",IF(ISNUMBER(SEARCH("Criterium final",D475)),"No","Yes"),"No"),""))</f>
        <v>Yes</v>
      </c>
      <c r="L475" s="12"/>
      <c r="M475" s="12" t="n">
        <f aca="false">IF(OR(A475="",F475=""),0,IF(COUNTIFS($A$2:A475,A475,$F$2:F475,F475)=1,1,0))</f>
        <v>0</v>
      </c>
      <c r="N475" s="12" t="str">
        <f aca="false">IF(A475="","",IFERROR(INDEX(Events!$F$2:$F$67,MATCH(A475,Events!$A$2:$A$67,0)),""))</f>
        <v>POL</v>
      </c>
      <c r="O475" s="12" t="n">
        <f aca="false">IF(AND(G475=1,K475="Yes",N475="POL"),IF(COUNTIFS($A$2:A475,A475,$D$2:D475,D475,$E$2:E475,E475,$G$2:G475,1)=1,1,0),0)</f>
        <v>0</v>
      </c>
      <c r="P475" s="12" t="n">
        <f aca="false">IF(AND(ISNUMBER(G475),K475="Yes",N475="POL"),IF(AND(G475&gt;=1,G475&lt;=3,COUNTIFS($A$2:A475,A475,$D$2:D475,D475,$E$2:E475,E475,$G$2:G475,G475)=1),1,0),0)</f>
        <v>0</v>
      </c>
    </row>
    <row r="476" customFormat="false" ht="15" hidden="false" customHeight="false" outlineLevel="0" collapsed="false">
      <c r="A476" s="12" t="s">
        <v>306</v>
      </c>
      <c r="B476" s="13" t="n">
        <v>46096</v>
      </c>
      <c r="C476" s="12" t="str">
        <f aca="false">IF(A476="","",IFERROR(INDEX(Events!$D$2:$D$67,MATCH(A476,Events!$A$2:$A$67,0)),"Unknown event ID"))</f>
        <v>Piccolo Trofeo Alfredo Binda – Valli del Verbano (juniors)</v>
      </c>
      <c r="D476" s="12" t="s">
        <v>365</v>
      </c>
      <c r="E476" s="12" t="s">
        <v>99</v>
      </c>
      <c r="F476" s="12" t="s">
        <v>121</v>
      </c>
      <c r="G476" s="12"/>
      <c r="H476" s="12" t="s">
        <v>33</v>
      </c>
      <c r="I476" s="12"/>
      <c r="J476" s="12" t="s">
        <v>123</v>
      </c>
      <c r="K476" s="12" t="str">
        <f aca="false">IF(A476="","",IFERROR(IF(INDEX(Events!$J$2:$J$67,MATCH(A476,Events!$A$2:$A$67,0))="Yes",IF(ISNUMBER(SEARCH("Criterium final",D476)),"No","Yes"),"No"),""))</f>
        <v>No</v>
      </c>
      <c r="L476" s="12"/>
      <c r="M476" s="12" t="n">
        <f aca="false">IF(OR(A476="",F476=""),0,IF(COUNTIFS($A$2:A476,A476,$F$2:F476,F476)=1,1,0))</f>
        <v>1</v>
      </c>
      <c r="N476" s="12" t="str">
        <f aca="false">IF(A476="","",IFERROR(INDEX(Events!$F$2:$F$67,MATCH(A476,Events!$A$2:$A$67,0)),""))</f>
        <v>ITA</v>
      </c>
      <c r="O476" s="12" t="n">
        <f aca="false">IF(AND(G476=1,K476="Yes",N476="POL"),IF(COUNTIFS($A$2:A476,A476,$D$2:D476,D476,$E$2:E476,E476,$G$2:G476,1)=1,1,0),0)</f>
        <v>0</v>
      </c>
      <c r="P476" s="12" t="n">
        <f aca="false">IF(AND(ISNUMBER(G476),K476="Yes",N476="POL"),IF(AND(G476&gt;=1,G476&lt;=3,COUNTIFS($A$2:A476,A476,$D$2:D476,D476,$E$2:E476,E476,$G$2:G476,G476)=1),1,0),0)</f>
        <v>0</v>
      </c>
    </row>
    <row r="477" customFormat="false" ht="15" hidden="false" customHeight="false" outlineLevel="0" collapsed="false">
      <c r="A477" s="12" t="s">
        <v>246</v>
      </c>
      <c r="B477" s="13" t="n">
        <v>46198</v>
      </c>
      <c r="C477" s="12" t="str">
        <f aca="false">IF(A477="","",IFERROR(INDEX(Events!$D$2:$D$67,MATCH(A477,Events!$A$2:$A$67,0)),"Unknown event ID"))</f>
        <v>Polish Road Championships (ITT + road race)</v>
      </c>
      <c r="D477" s="12" t="s">
        <v>387</v>
      </c>
      <c r="E477" s="12" t="s">
        <v>100</v>
      </c>
      <c r="F477" s="12" t="s">
        <v>121</v>
      </c>
      <c r="G477" s="12" t="n">
        <v>16</v>
      </c>
      <c r="H477" s="12" t="s">
        <v>366</v>
      </c>
      <c r="I477" s="12"/>
      <c r="J477" s="12" t="s">
        <v>123</v>
      </c>
      <c r="K477" s="12" t="str">
        <f aca="false">IF(A477="","",IFERROR(IF(INDEX(Events!$J$2:$J$67,MATCH(A477,Events!$A$2:$A$67,0))="Yes",IF(ISNUMBER(SEARCH("Criterium final",D477)),"No","Yes"),"No"),""))</f>
        <v>Yes</v>
      </c>
      <c r="L477" s="12"/>
      <c r="M477" s="12" t="n">
        <f aca="false">IF(OR(A477="",F477=""),0,IF(COUNTIFS($A$2:A477,A477,$F$2:F477,F477)=1,1,0))</f>
        <v>1</v>
      </c>
      <c r="N477" s="12" t="str">
        <f aca="false">IF(A477="","",IFERROR(INDEX(Events!$F$2:$F$67,MATCH(A477,Events!$A$2:$A$67,0)),""))</f>
        <v>POL</v>
      </c>
      <c r="O477" s="12" t="n">
        <f aca="false">IF(AND(G477=1,K477="Yes",N477="POL"),IF(COUNTIFS($A$2:A477,A477,$D$2:D477,D477,$E$2:E477,E477,$G$2:G477,1)=1,1,0),0)</f>
        <v>0</v>
      </c>
      <c r="P477" s="12" t="n">
        <f aca="false">IF(AND(ISNUMBER(G477),K477="Yes",N477="POL"),IF(AND(G477&gt;=1,G477&lt;=3,COUNTIFS($A$2:A477,A477,$D$2:D477,D477,$E$2:E477,E477,$G$2:G477,G477)=1),1,0),0)</f>
        <v>0</v>
      </c>
    </row>
    <row r="478" customFormat="false" ht="15" hidden="false" customHeight="false" outlineLevel="0" collapsed="false">
      <c r="A478" s="12" t="s">
        <v>246</v>
      </c>
      <c r="B478" s="13" t="n">
        <v>46201</v>
      </c>
      <c r="C478" s="12" t="str">
        <f aca="false">IF(A478="","",IFERROR(INDEX(Events!$D$2:$D$67,MATCH(A478,Events!$A$2:$A$67,0)),"Unknown event ID"))</f>
        <v>Polish Road Championships (ITT + road race)</v>
      </c>
      <c r="D478" s="12" t="s">
        <v>367</v>
      </c>
      <c r="E478" s="12" t="s">
        <v>100</v>
      </c>
      <c r="F478" s="12" t="s">
        <v>121</v>
      </c>
      <c r="G478" s="12" t="n">
        <v>15</v>
      </c>
      <c r="H478" s="12" t="s">
        <v>366</v>
      </c>
      <c r="I478" s="12"/>
      <c r="J478" s="12" t="s">
        <v>123</v>
      </c>
      <c r="K478" s="12" t="str">
        <f aca="false">IF(A478="","",IFERROR(IF(INDEX(Events!$J$2:$J$67,MATCH(A478,Events!$A$2:$A$67,0))="Yes",IF(ISNUMBER(SEARCH("Criterium final",D478)),"No","Yes"),"No"),""))</f>
        <v>Yes</v>
      </c>
      <c r="L478" s="12"/>
      <c r="M478" s="12" t="n">
        <f aca="false">IF(OR(A478="",F478=""),0,IF(COUNTIFS($A$2:A478,A478,$F$2:F478,F478)=1,1,0))</f>
        <v>0</v>
      </c>
      <c r="N478" s="12" t="str">
        <f aca="false">IF(A478="","",IFERROR(INDEX(Events!$F$2:$F$67,MATCH(A478,Events!$A$2:$A$67,0)),""))</f>
        <v>POL</v>
      </c>
      <c r="O478" s="12" t="n">
        <f aca="false">IF(AND(G478=1,K478="Yes",N478="POL"),IF(COUNTIFS($A$2:A478,A478,$D$2:D478,D478,$E$2:E478,E478,$G$2:G478,1)=1,1,0),0)</f>
        <v>0</v>
      </c>
      <c r="P478" s="12" t="n">
        <f aca="false">IF(AND(ISNUMBER(G478),K478="Yes",N478="POL"),IF(AND(G478&gt;=1,G478&lt;=3,COUNTIFS($A$2:A478,A478,$D$2:D478,D478,$E$2:E478,E478,$G$2:G478,G478)=1),1,0),0)</f>
        <v>0</v>
      </c>
    </row>
    <row r="479" customFormat="false" ht="15" hidden="false" customHeight="false" outlineLevel="0" collapsed="false">
      <c r="A479" s="12" t="s">
        <v>259</v>
      </c>
      <c r="B479" s="13" t="n">
        <v>46227</v>
      </c>
      <c r="C479" s="12" t="str">
        <f aca="false">IF(A479="","",IFERROR(INDEX(Events!$D$2:$D$67,MATCH(A479,Events!$A$2:$A$67,0)),"Unknown event ID"))</f>
        <v>Watersley Ladies Challenge</v>
      </c>
      <c r="D479" s="12" t="s">
        <v>377</v>
      </c>
      <c r="E479" s="12" t="s">
        <v>99</v>
      </c>
      <c r="F479" s="12" t="s">
        <v>121</v>
      </c>
      <c r="G479" s="12" t="n">
        <v>103</v>
      </c>
      <c r="H479" s="12" t="s">
        <v>366</v>
      </c>
      <c r="I479" s="12"/>
      <c r="J479" s="12" t="s">
        <v>123</v>
      </c>
      <c r="K479" s="12" t="str">
        <f aca="false">IF(A479="","",IFERROR(IF(INDEX(Events!$J$2:$J$67,MATCH(A479,Events!$A$2:$A$67,0))="Yes",IF(ISNUMBER(SEARCH("Criterium final",D479)),"No","Yes"),"No"),""))</f>
        <v>No</v>
      </c>
      <c r="L479" s="12"/>
      <c r="M479" s="12" t="n">
        <f aca="false">IF(OR(A479="",F479=""),0,IF(COUNTIFS($A$2:A479,A479,$F$2:F479,F479)=1,1,0))</f>
        <v>1</v>
      </c>
      <c r="N479" s="12" t="str">
        <f aca="false">IF(A479="","",IFERROR(INDEX(Events!$F$2:$F$67,MATCH(A479,Events!$A$2:$A$67,0)),""))</f>
        <v>NED</v>
      </c>
      <c r="O479" s="12" t="n">
        <f aca="false">IF(AND(G479=1,K479="Yes",N479="POL"),IF(COUNTIFS($A$2:A479,A479,$D$2:D479,D479,$E$2:E479,E479,$G$2:G479,1)=1,1,0),0)</f>
        <v>0</v>
      </c>
      <c r="P479" s="12" t="n">
        <f aca="false">IF(AND(ISNUMBER(G479),K479="Yes",N479="POL"),IF(AND(G479&gt;=1,G479&lt;=3,COUNTIFS($A$2:A479,A479,$D$2:D479,D479,$E$2:E479,E479,$G$2:G479,G479)=1),1,0),0)</f>
        <v>0</v>
      </c>
    </row>
    <row r="480" customFormat="false" ht="15" hidden="false" customHeight="false" outlineLevel="0" collapsed="false">
      <c r="A480" s="12" t="s">
        <v>259</v>
      </c>
      <c r="B480" s="13" t="n">
        <v>46228</v>
      </c>
      <c r="C480" s="12" t="str">
        <f aca="false">IF(A480="","",IFERROR(INDEX(Events!$D$2:$D$67,MATCH(A480,Events!$A$2:$A$67,0)),"Unknown event ID"))</f>
        <v>Watersley Ladies Challenge</v>
      </c>
      <c r="D480" s="12" t="s">
        <v>373</v>
      </c>
      <c r="E480" s="12" t="s">
        <v>99</v>
      </c>
      <c r="F480" s="12" t="s">
        <v>121</v>
      </c>
      <c r="G480" s="12" t="n">
        <v>90</v>
      </c>
      <c r="H480" s="12" t="s">
        <v>366</v>
      </c>
      <c r="I480" s="12"/>
      <c r="J480" s="12" t="s">
        <v>123</v>
      </c>
      <c r="K480" s="12" t="str">
        <f aca="false">IF(A480="","",IFERROR(IF(INDEX(Events!$J$2:$J$67,MATCH(A480,Events!$A$2:$A$67,0))="Yes",IF(ISNUMBER(SEARCH("Criterium final",D480)),"No","Yes"),"No"),""))</f>
        <v>No</v>
      </c>
      <c r="L480" s="12"/>
      <c r="M480" s="12" t="n">
        <f aca="false">IF(OR(A480="",F480=""),0,IF(COUNTIFS($A$2:A480,A480,$F$2:F480,F480)=1,1,0))</f>
        <v>0</v>
      </c>
      <c r="N480" s="12" t="str">
        <f aca="false">IF(A480="","",IFERROR(INDEX(Events!$F$2:$F$67,MATCH(A480,Events!$A$2:$A$67,0)),""))</f>
        <v>NED</v>
      </c>
      <c r="O480" s="12" t="n">
        <f aca="false">IF(AND(G480=1,K480="Yes",N480="POL"),IF(COUNTIFS($A$2:A480,A480,$D$2:D480,D480,$E$2:E480,E480,$G$2:G480,1)=1,1,0),0)</f>
        <v>0</v>
      </c>
      <c r="P480" s="12" t="n">
        <f aca="false">IF(AND(ISNUMBER(G480),K480="Yes",N480="POL"),IF(AND(G480&gt;=1,G480&lt;=3,COUNTIFS($A$2:A480,A480,$D$2:D480,D480,$E$2:E480,E480,$G$2:G480,G480)=1),1,0),0)</f>
        <v>0</v>
      </c>
    </row>
    <row r="481" customFormat="false" ht="15" hidden="false" customHeight="false" outlineLevel="0" collapsed="false">
      <c r="A481" s="12" t="s">
        <v>259</v>
      </c>
      <c r="B481" s="13" t="n">
        <v>46229</v>
      </c>
      <c r="C481" s="12" t="str">
        <f aca="false">IF(A481="","",IFERROR(INDEX(Events!$D$2:$D$67,MATCH(A481,Events!$A$2:$A$67,0)),"Unknown event ID"))</f>
        <v>Watersley Ladies Challenge</v>
      </c>
      <c r="D481" s="12" t="s">
        <v>374</v>
      </c>
      <c r="E481" s="12" t="s">
        <v>99</v>
      </c>
      <c r="F481" s="12" t="s">
        <v>121</v>
      </c>
      <c r="G481" s="12"/>
      <c r="H481" s="12" t="s">
        <v>33</v>
      </c>
      <c r="I481" s="12"/>
      <c r="J481" s="12" t="s">
        <v>123</v>
      </c>
      <c r="K481" s="12" t="str">
        <f aca="false">IF(A481="","",IFERROR(IF(INDEX(Events!$J$2:$J$67,MATCH(A481,Events!$A$2:$A$67,0))="Yes",IF(ISNUMBER(SEARCH("Criterium final",D481)),"No","Yes"),"No"),""))</f>
        <v>No</v>
      </c>
      <c r="L481" s="12"/>
      <c r="M481" s="12" t="n">
        <f aca="false">IF(OR(A481="",F481=""),0,IF(COUNTIFS($A$2:A481,A481,$F$2:F481,F481)=1,1,0))</f>
        <v>0</v>
      </c>
      <c r="N481" s="12" t="str">
        <f aca="false">IF(A481="","",IFERROR(INDEX(Events!$F$2:$F$67,MATCH(A481,Events!$A$2:$A$67,0)),""))</f>
        <v>NED</v>
      </c>
      <c r="O481" s="12" t="n">
        <f aca="false">IF(AND(G481=1,K481="Yes",N481="POL"),IF(COUNTIFS($A$2:A481,A481,$D$2:D481,D481,$E$2:E481,E481,$G$2:G481,1)=1,1,0),0)</f>
        <v>0</v>
      </c>
      <c r="P481" s="12" t="n">
        <f aca="false">IF(AND(ISNUMBER(G481),K481="Yes",N481="POL"),IF(AND(G481&gt;=1,G481&lt;=3,COUNTIFS($A$2:A481,A481,$D$2:D481,D481,$E$2:E481,E481,$G$2:G481,G481)=1),1,0),0)</f>
        <v>0</v>
      </c>
    </row>
    <row r="482" customFormat="false" ht="15" hidden="false" customHeight="false" outlineLevel="0" collapsed="false">
      <c r="A482" s="12" t="s">
        <v>344</v>
      </c>
      <c r="B482" s="13" t="n">
        <v>46260</v>
      </c>
      <c r="C482" s="12" t="str">
        <f aca="false">IF(A482="","",IFERROR(INDEX(Events!$D$2:$D$67,MATCH(A482,Events!$A$2:$A$67,0)),"Unknown event ID"))</f>
        <v>Druivenkoers – Overijse (juniors)</v>
      </c>
      <c r="D482" s="12" t="s">
        <v>365</v>
      </c>
      <c r="E482" s="12" t="s">
        <v>99</v>
      </c>
      <c r="F482" s="12" t="s">
        <v>121</v>
      </c>
      <c r="G482" s="12"/>
      <c r="H482" s="12" t="s">
        <v>33</v>
      </c>
      <c r="I482" s="12"/>
      <c r="J482" s="12" t="s">
        <v>123</v>
      </c>
      <c r="K482" s="12" t="str">
        <f aca="false">IF(A482="","",IFERROR(IF(INDEX(Events!$J$2:$J$67,MATCH(A482,Events!$A$2:$A$67,0))="Yes",IF(ISNUMBER(SEARCH("Criterium final",D482)),"No","Yes"),"No"),""))</f>
        <v>No</v>
      </c>
      <c r="L482" s="12"/>
      <c r="M482" s="12" t="n">
        <f aca="false">IF(OR(A482="",F482=""),0,IF(COUNTIFS($A$2:A482,A482,$F$2:F482,F482)=1,1,0))</f>
        <v>1</v>
      </c>
      <c r="N482" s="12" t="str">
        <f aca="false">IF(A482="","",IFERROR(INDEX(Events!$F$2:$F$67,MATCH(A482,Events!$A$2:$A$67,0)),""))</f>
        <v>BEL</v>
      </c>
      <c r="O482" s="12" t="n">
        <f aca="false">IF(AND(G482=1,K482="Yes",N482="POL"),IF(COUNTIFS($A$2:A482,A482,$D$2:D482,D482,$E$2:E482,E482,$G$2:G482,1)=1,1,0),0)</f>
        <v>0</v>
      </c>
      <c r="P482" s="12" t="n">
        <f aca="false">IF(AND(ISNUMBER(G482),K482="Yes",N482="POL"),IF(AND(G482&gt;=1,G482&lt;=3,COUNTIFS($A$2:A482,A482,$D$2:D482,D482,$E$2:E482,E482,$G$2:G482,G482)=1),1,0),0)</f>
        <v>0</v>
      </c>
    </row>
  </sheetData>
  <autoFilter ref="A1:P482"/>
  <conditionalFormatting sqref="G2:G482">
    <cfRule type="expression" priority="2" aboveAverage="0" equalAverage="0" bottom="0" percent="0" rank="0" text="" dxfId="9">
      <formula>G2=1</formula>
    </cfRule>
    <cfRule type="expression" priority="3" aboveAverage="0" equalAverage="0" bottom="0" percent="0" rank="0" text="" dxfId="10">
      <formula>AND(G2&gt;1,G2&lt;=3)</formula>
    </cfRule>
  </conditionalFormatting>
  <dataValidations count="4">
    <dataValidation allowBlank="true" errorStyle="stop" operator="between" showDropDown="false" showErrorMessage="false" showInputMessage="false" sqref="F2:F482" type="list">
      <formula1>Riders!$A$5:$A$24</formula1>
      <formula2>0</formula2>
    </dataValidation>
    <dataValidation allowBlank="true" errorStyle="stop" operator="between" showDropDown="false" showErrorMessage="false" showInputMessage="false" sqref="A2:A482" type="list">
      <formula1>Events!$A$2:$A$67</formula1>
      <formula2>0</formula2>
    </dataValidation>
    <dataValidation allowBlank="true" errorStyle="stop" operator="between" showDropDown="false" showErrorMessage="false" showInputMessage="false" sqref="H2:H482" type="list">
      <formula1>"Classified,DNF,DNS,DSQ,LAP,OTL"</formula1>
      <formula2>0</formula2>
    </dataValidation>
    <dataValidation allowBlank="true" errorStyle="stop" operator="between" showDropDown="false" showErrorMessage="false" showInputMessage="false" sqref="L2:L4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4" min="2" style="0" width="5.6"/>
  </cols>
  <sheetData>
    <row r="1" customFormat="false" ht="17.35" hidden="false" customHeight="false" outlineLevel="0" collapsed="false">
      <c r="A1" s="5" t="s">
        <v>501</v>
      </c>
    </row>
    <row r="2" customFormat="false" ht="15" hidden="false" customHeight="false" outlineLevel="0" collapsed="false">
      <c r="A2" s="6" t="s">
        <v>502</v>
      </c>
    </row>
    <row r="4" customFormat="false" ht="15" hidden="false" customHeight="false" outlineLevel="0" collapsed="false">
      <c r="A4" s="15" t="s">
        <v>43</v>
      </c>
      <c r="B4" s="16" t="s">
        <v>139</v>
      </c>
      <c r="C4" s="16" t="s">
        <v>146</v>
      </c>
      <c r="D4" s="16" t="s">
        <v>150</v>
      </c>
      <c r="E4" s="16" t="s">
        <v>164</v>
      </c>
      <c r="F4" s="16" t="s">
        <v>166</v>
      </c>
      <c r="G4" s="16" t="s">
        <v>171</v>
      </c>
      <c r="H4" s="17" t="s">
        <v>306</v>
      </c>
      <c r="I4" s="16" t="s">
        <v>174</v>
      </c>
      <c r="J4" s="16" t="s">
        <v>178</v>
      </c>
      <c r="K4" s="16" t="s">
        <v>181</v>
      </c>
      <c r="L4" s="16" t="s">
        <v>185</v>
      </c>
      <c r="M4" s="16" t="s">
        <v>188</v>
      </c>
      <c r="N4" s="16" t="s">
        <v>191</v>
      </c>
      <c r="O4" s="16" t="s">
        <v>193</v>
      </c>
      <c r="P4" s="17" t="s">
        <v>310</v>
      </c>
      <c r="Q4" s="16" t="s">
        <v>196</v>
      </c>
      <c r="R4" s="16" t="s">
        <v>199</v>
      </c>
      <c r="S4" s="17" t="s">
        <v>316</v>
      </c>
      <c r="T4" s="16" t="s">
        <v>204</v>
      </c>
      <c r="U4" s="16" t="s">
        <v>207</v>
      </c>
      <c r="V4" s="16" t="s">
        <v>211</v>
      </c>
      <c r="W4" s="16" t="s">
        <v>214</v>
      </c>
      <c r="X4" s="16" t="s">
        <v>217</v>
      </c>
      <c r="Y4" s="16" t="s">
        <v>220</v>
      </c>
      <c r="Z4" s="16" t="s">
        <v>223</v>
      </c>
      <c r="AA4" s="17" t="s">
        <v>320</v>
      </c>
      <c r="AB4" s="16" t="s">
        <v>227</v>
      </c>
      <c r="AC4" s="16" t="s">
        <v>230</v>
      </c>
      <c r="AD4" s="16" t="s">
        <v>233</v>
      </c>
      <c r="AE4" s="17" t="s">
        <v>325</v>
      </c>
      <c r="AF4" s="16" t="s">
        <v>235</v>
      </c>
      <c r="AG4" s="16" t="s">
        <v>237</v>
      </c>
      <c r="AH4" s="16" t="s">
        <v>239</v>
      </c>
      <c r="AI4" s="16" t="s">
        <v>243</v>
      </c>
      <c r="AJ4" s="16" t="s">
        <v>246</v>
      </c>
      <c r="AK4" s="17" t="s">
        <v>328</v>
      </c>
      <c r="AL4" s="17" t="s">
        <v>330</v>
      </c>
      <c r="AM4" s="16" t="s">
        <v>249</v>
      </c>
      <c r="AN4" s="16" t="s">
        <v>252</v>
      </c>
      <c r="AO4" s="17" t="s">
        <v>332</v>
      </c>
      <c r="AP4" s="17" t="s">
        <v>334</v>
      </c>
      <c r="AQ4" s="16" t="s">
        <v>255</v>
      </c>
      <c r="AR4" s="16" t="s">
        <v>259</v>
      </c>
      <c r="AS4" s="16" t="s">
        <v>262</v>
      </c>
      <c r="AT4" s="16" t="s">
        <v>266</v>
      </c>
      <c r="AU4" s="16" t="s">
        <v>270</v>
      </c>
      <c r="AV4" s="16" t="s">
        <v>273</v>
      </c>
      <c r="AW4" s="16" t="s">
        <v>276</v>
      </c>
      <c r="AX4" s="17" t="s">
        <v>336</v>
      </c>
      <c r="AY4" s="17" t="s">
        <v>339</v>
      </c>
      <c r="AZ4" s="17" t="s">
        <v>341</v>
      </c>
      <c r="BA4" s="17" t="s">
        <v>344</v>
      </c>
      <c r="BB4" s="16" t="s">
        <v>279</v>
      </c>
      <c r="BC4" s="16" t="s">
        <v>282</v>
      </c>
      <c r="BD4" s="16" t="s">
        <v>285</v>
      </c>
      <c r="BE4" s="16" t="s">
        <v>289</v>
      </c>
      <c r="BF4" s="16" t="s">
        <v>293</v>
      </c>
      <c r="BG4" s="16" t="s">
        <v>296</v>
      </c>
      <c r="BH4" s="17" t="s">
        <v>346</v>
      </c>
      <c r="BI4" s="17" t="s">
        <v>351</v>
      </c>
      <c r="BJ4" s="16" t="s">
        <v>300</v>
      </c>
      <c r="BK4" s="16" t="s">
        <v>304</v>
      </c>
      <c r="BL4" s="17" t="s">
        <v>354</v>
      </c>
    </row>
    <row r="5" customFormat="false" ht="229.5" hidden="false" customHeight="true" outlineLevel="0" collapsed="false">
      <c r="A5" s="15" t="s">
        <v>128</v>
      </c>
      <c r="B5" s="18" t="str">
        <f aca="false">INDEX(Events!$D$2:$D$67,MATCH(B$4,Events!$A$2:$A$67,0))</f>
        <v>4th Cyclocross im. Z. Hanusika</v>
      </c>
      <c r="C5" s="18" t="str">
        <f aca="false">INDEX(Events!$D$2:$D$67,MATCH(C$4,Events!$A$2:$A$67,0))</f>
        <v>Przełajowe Mistrzostwa Polski (Polish CX Championships)</v>
      </c>
      <c r="D5" s="18" t="str">
        <f aca="false">INDEX(Events!$D$2:$D$67,MATCH(D$4,Events!$A$2:$A$67,0))</f>
        <v>UEC Track Elite European Championships</v>
      </c>
      <c r="E5" s="18" t="str">
        <f aca="false">INDEX(Events!$D$2:$D$67,MATCH(E$4,Events!$A$2:$A$67,0))</f>
        <v>Polish Cup (track) – Puchar Polski</v>
      </c>
      <c r="F5" s="18" t="str">
        <f aca="false">INDEX(Events!$D$2:$D$67,MATCH(F$4,Events!$A$2:$A$67,0))</f>
        <v>UMAG Classic Ladies</v>
      </c>
      <c r="G5" s="18" t="str">
        <f aca="false">INDEX(Events!$D$2:$D$67,MATCH(G$4,Events!$A$2:$A$67,0))</f>
        <v>POREČ Classic Ladies</v>
      </c>
      <c r="H5" s="18" t="str">
        <f aca="false">INDEX(Events!$D$2:$D$67,MATCH(H$4,Events!$A$2:$A$67,0))</f>
        <v>Piccolo Trofeo Alfredo Binda – Valli del Verbano (juniors)</v>
      </c>
      <c r="I5" s="18" t="str">
        <f aca="false">INDEX(Events!$D$2:$D$67,MATCH(I$4,Events!$A$2:$A$67,0))</f>
        <v>Midwest Cycling Classic</v>
      </c>
      <c r="J5" s="18" t="str">
        <f aca="false">INDEX(Events!$D$2:$D$67,MATCH(J$4,Events!$A$2:$A$67,0))</f>
        <v>Trofeo Cinelli – VC Hlohovec</v>
      </c>
      <c r="K5" s="18" t="str">
        <f aca="false">INDEX(Events!$D$2:$D$67,MATCH(K$4,Events!$A$2:$A$67,0))</f>
        <v>NXT Classic</v>
      </c>
      <c r="L5" s="18" t="str">
        <f aca="false">INDEX(Events!$D$2:$D$67,MATCH(L$4,Events!$A$2:$A$67,0))</f>
        <v>Ronde de Mouscron</v>
      </c>
      <c r="M5" s="18" t="str">
        <f aca="false">INDEX(Events!$D$2:$D$67,MATCH(M$4,Events!$A$2:$A$67,0))</f>
        <v>Scheldeprijs Vrouwen Elite</v>
      </c>
      <c r="N5" s="18" t="str">
        <f aca="false">INDEX(Events!$D$2:$D$67,MATCH(N$4,Events!$A$2:$A$67,0))</f>
        <v>Ślężański Mnich</v>
      </c>
      <c r="O5" s="18" t="str">
        <f aca="false">INDEX(Events!$D$2:$D$67,MATCH(O$4,Events!$A$2:$A$67,0))</f>
        <v>De Brabantse Pijl</v>
      </c>
      <c r="P5" s="18" t="str">
        <f aca="false">INDEX(Events!$D$2:$D$67,MATCH(P$4,Events!$A$2:$A$67,0))</f>
        <v>UCI Track Nations Cup – Hong Kong</v>
      </c>
      <c r="Q5" s="18" t="str">
        <f aca="false">INDEX(Events!$D$2:$D$67,MATCH(Q$4,Events!$A$2:$A$67,0))</f>
        <v>Polish Cup (road)</v>
      </c>
      <c r="R5" s="18" t="str">
        <f aca="false">INDEX(Events!$D$2:$D$67,MATCH(R$4,Events!$A$2:$A$67,0))</f>
        <v>EPZ Omloop van Borsele</v>
      </c>
      <c r="S5" s="18" t="str">
        <f aca="false">INDEX(Events!$D$2:$D$67,MATCH(S$4,Events!$A$2:$A$67,0))</f>
        <v>UCI Track Nations Cup – Nilai</v>
      </c>
      <c r="T5" s="18" t="str">
        <f aca="false">INDEX(Events!$D$2:$D$67,MATCH(T$4,Events!$A$2:$A$67,0))</f>
        <v>Polish Cup (road)</v>
      </c>
      <c r="U5" s="18" t="str">
        <f aca="false">INDEX(Events!$D$2:$D$67,MATCH(U$4,Events!$A$2:$A$67,0))</f>
        <v>Gracia Orlová</v>
      </c>
      <c r="V5" s="18" t="str">
        <f aca="false">INDEX(Events!$D$2:$D$67,MATCH(V$4,Events!$A$2:$A$67,0))</f>
        <v>Criterium Lubawa (MP criterium qualifier)</v>
      </c>
      <c r="W5" s="18" t="str">
        <f aca="false">INDEX(Events!$D$2:$D$67,MATCH(W$4,Events!$A$2:$A$67,0))</f>
        <v>Polish Cup (road)</v>
      </c>
      <c r="X5" s="18" t="str">
        <f aca="false">INDEX(Events!$D$2:$D$67,MATCH(X$4,Events!$A$2:$A$67,0))</f>
        <v>In Flanders Fields</v>
      </c>
      <c r="Y5" s="18" t="str">
        <f aca="false">INDEX(Events!$D$2:$D$67,MATCH(Y$4,Events!$A$2:$A$67,0))</f>
        <v>Trofee Maarten Wynants</v>
      </c>
      <c r="Z5" s="18" t="str">
        <f aca="false">INDEX(Events!$D$2:$D$67,MATCH(Z$4,Events!$A$2:$A$67,0))</f>
        <v>Tour de Feminin</v>
      </c>
      <c r="AA5" s="18" t="str">
        <f aca="false">INDEX(Events!$D$2:$D$67,MATCH(AA$4,Events!$A$2:$A$67,0))</f>
        <v>Tour du Gévaudan Occitanie femmes</v>
      </c>
      <c r="AB5" s="18" t="str">
        <f aca="false">INDEX(Events!$D$2:$D$67,MATCH(AB$4,Events!$A$2:$A$67,0))</f>
        <v>Sportland Niederösterreich Women Tour</v>
      </c>
      <c r="AC5" s="18" t="str">
        <f aca="false">INDEX(Events!$D$2:$D$67,MATCH(AC$4,Events!$A$2:$A$67,0))</f>
        <v>Polish Cup (road) – Lubuskie Warte Zachodu</v>
      </c>
      <c r="AD5" s="18" t="str">
        <f aca="false">INDEX(Events!$D$2:$D$67,MATCH(AD$4,Events!$A$2:$A$67,0))</f>
        <v>Polish Cup (road)</v>
      </c>
      <c r="AE5" s="18" t="str">
        <f aca="false">INDEX(Events!$D$2:$D$67,MATCH(AE$4,Events!$A$2:$A$67,0))</f>
        <v>3 Nations Cup – MTB Festival Vlaanderen</v>
      </c>
      <c r="AF5" s="18" t="str">
        <f aca="false">INDEX(Events!$D$2:$D$67,MATCH(AF$4,Events!$A$2:$A$67,0))</f>
        <v>Dwars door de Westhoek</v>
      </c>
      <c r="AG5" s="18" t="str">
        <f aca="false">INDEX(Events!$D$2:$D$67,MATCH(AG$4,Events!$A$2:$A$67,0))</f>
        <v>Polish Cup (road)</v>
      </c>
      <c r="AH5" s="18" t="str">
        <f aca="false">INDEX(Events!$D$2:$D$67,MATCH(AH$4,Events!$A$2:$A$67,0))</f>
        <v>Polish Cup (road) – Memoriał Tomka Jakubowskiego</v>
      </c>
      <c r="AI5" s="18" t="str">
        <f aca="false">INDEX(Events!$D$2:$D$67,MATCH(AI$4,Events!$A$2:$A$67,0))</f>
        <v>LOTTO Thüringen Women Cycling Challenge</v>
      </c>
      <c r="AJ5" s="18" t="str">
        <f aca="false">INDEX(Events!$D$2:$D$67,MATCH(AJ$4,Events!$A$2:$A$67,0))</f>
        <v>Polish Road Championships (ITT + road race)</v>
      </c>
      <c r="AK5" s="18" t="str">
        <f aca="false">INDEX(Events!$D$2:$D$67,MATCH(AK$4,Events!$A$2:$A$67,0))</f>
        <v>Slovak National Road Championships</v>
      </c>
      <c r="AL5" s="18" t="str">
        <f aca="false">INDEX(Events!$D$2:$D$67,MATCH(AL$4,Events!$A$2:$A$67,0))</f>
        <v>Czech National Road Championships</v>
      </c>
      <c r="AM5" s="18" t="str">
        <f aca="false">INDEX(Events!$D$2:$D$67,MATCH(AM$4,Events!$A$2:$A$67,0))</f>
        <v>UEC Track Junior &amp; U23 European Championships</v>
      </c>
      <c r="AN5" s="18" t="str">
        <f aca="false">INDEX(Events!$D$2:$D$67,MATCH(AN$4,Events!$A$2:$A$67,0))</f>
        <v>Respect Ladies Race Slovakia</v>
      </c>
      <c r="AO5" s="18" t="str">
        <f aca="false">INDEX(Events!$D$2:$D$67,MATCH(AO$4,Events!$A$2:$A$67,0))</f>
        <v>VALROMEY Tour Féminin</v>
      </c>
      <c r="AP5" s="18" t="str">
        <f aca="false">INDEX(Events!$D$2:$D$67,MATCH(AP$4,Events!$A$2:$A$67,0))</f>
        <v>Polish MTB Championships (XCO / XCC)</v>
      </c>
      <c r="AQ5" s="18" t="str">
        <f aca="false">INDEX(Events!$D$2:$D$67,MATCH(AQ$4,Events!$A$2:$A$67,0))</f>
        <v>Tour de Pologne Women</v>
      </c>
      <c r="AR5" s="18" t="str">
        <f aca="false">INDEX(Events!$D$2:$D$67,MATCH(AR$4,Events!$A$2:$A$67,0))</f>
        <v>Watersley Ladies Challenge</v>
      </c>
      <c r="AS5" s="18" t="str">
        <f aca="false">INDEX(Events!$D$2:$D$67,MATCH(AS$4,Events!$A$2:$A$67,0))</f>
        <v>Criterium Grudziądz (Puchar Prezydenta Grudziądza)</v>
      </c>
      <c r="AT5" s="18" t="str">
        <f aca="false">INDEX(Events!$D$2:$D$67,MATCH(AT$4,Events!$A$2:$A$67,0))</f>
        <v>Kryterium Uliczne – Nagroda Gruczna</v>
      </c>
      <c r="AU5" s="18" t="str">
        <f aca="false">INDEX(Events!$D$2:$D$67,MATCH(AU$4,Events!$A$2:$A$67,0))</f>
        <v>Polish Elite Track Championships</v>
      </c>
      <c r="AV5" s="18" t="str">
        <f aca="false">INDEX(Events!$D$2:$D$67,MATCH(AV$4,Events!$A$2:$A$67,0))</f>
        <v>Sowiogórski Tour</v>
      </c>
      <c r="AW5" s="18" t="str">
        <f aca="false">INDEX(Events!$D$2:$D$67,MATCH(AW$4,Events!$A$2:$A$67,0))</f>
        <v>Egmont Cycling Race Women</v>
      </c>
      <c r="AX5" s="18" t="str">
        <f aca="false">INDEX(Events!$D$2:$D$67,MATCH(AX$4,Events!$A$2:$A$67,0))</f>
        <v>UCI Junior Track World Championships</v>
      </c>
      <c r="AY5" s="18" t="str">
        <f aca="false">INDEX(Events!$D$2:$D$67,MATCH(AY$4,Events!$A$2:$A$67,0))</f>
        <v>GP Lucien Van Impe</v>
      </c>
      <c r="AZ5" s="18" t="str">
        <f aca="false">INDEX(Events!$D$2:$D$67,MATCH(AZ$4,Events!$A$2:$A$67,0))</f>
        <v>Konvert Kortrijk Koerse</v>
      </c>
      <c r="BA5" s="18" t="str">
        <f aca="false">INDEX(Events!$D$2:$D$67,MATCH(BA$4,Events!$A$2:$A$67,0))</f>
        <v>Druivenkoers – Overijse (juniors)</v>
      </c>
      <c r="BB5" s="18" t="str">
        <f aca="false">INDEX(Events!$D$2:$D$67,MATCH(BB$4,Events!$A$2:$A$67,0))</f>
        <v>Premondiale Giro Toscana Int. Femminile</v>
      </c>
      <c r="BC5" s="18" t="str">
        <f aca="false">INDEX(Events!$D$2:$D$67,MATCH(BC$4,Events!$A$2:$A$67,0))</f>
        <v>Górskie Szosowe Mistrzostwa Polski (mountain road champs)</v>
      </c>
      <c r="BD5" s="18" t="str">
        <f aca="false">INDEX(Events!$D$2:$D$67,MATCH(BD$4,Events!$A$2:$A$67,0))</f>
        <v>55. Ogólnopolskie Kryterium Kolarskie</v>
      </c>
      <c r="BE5" s="18" t="str">
        <f aca="false">INDEX(Events!$D$2:$D$67,MATCH(BE$4,Events!$A$2:$A$67,0))</f>
        <v>Polish Pairs &amp; Team Time Trial Championships</v>
      </c>
      <c r="BF5" s="18" t="str">
        <f aca="false">INDEX(Events!$D$2:$D$67,MATCH(BF$4,Events!$A$2:$A$67,0))</f>
        <v>Puchar Starosty Strzelińskiego</v>
      </c>
      <c r="BG5" s="18" t="str">
        <f aca="false">INDEX(Events!$D$2:$D$67,MATCH(BG$4,Events!$A$2:$A$67,0))</f>
        <v>Memoriał im. Stanisława Szozdy – MP criterium final</v>
      </c>
      <c r="BH5" s="18" t="str">
        <f aca="false">INDEX(Events!$D$2:$D$67,MATCH(BH$4,Events!$A$2:$A$67,0))</f>
        <v>UCI Road World Championships</v>
      </c>
      <c r="BI5" s="18" t="str">
        <f aca="false">INDEX(Events!$D$2:$D$67,MATCH(BI$4,Events!$A$2:$A$67,0))</f>
        <v>Youth Polish Track Championships – non-Olympic events (MMP)</v>
      </c>
      <c r="BJ5" s="18" t="str">
        <f aca="false">INDEX(Events!$D$2:$D$67,MATCH(BJ$4,Events!$A$2:$A$67,0))</f>
        <v>UEC Road European Championships</v>
      </c>
      <c r="BK5" s="18" t="str">
        <f aca="false">INDEX(Events!$D$2:$D$67,MATCH(BK$4,Events!$A$2:$A$67,0))</f>
        <v>Polish Track Junior/U23 Championships</v>
      </c>
      <c r="BL5" s="18" t="str">
        <f aca="false">INDEX(Events!$D$2:$D$67,MATCH(BL$4,Events!$A$2:$A$67,0))</f>
        <v>Polish MTB Marathon Championships</v>
      </c>
    </row>
    <row r="6" customFormat="false" ht="15" hidden="false" customHeight="false" outlineLevel="0" collapsed="false">
      <c r="A6" s="15" t="s">
        <v>126</v>
      </c>
      <c r="B6" s="19" t="n">
        <f aca="false">IF(INDEX(Events!$B$2:$B$67,MATCH(B$4,Events!$A$2:$A$67,0))="","TBC",INDEX(Events!$B$2:$B$67,MATCH(B$4,Events!$A$2:$A$67,0)))</f>
        <v>46026</v>
      </c>
      <c r="C6" s="19" t="n">
        <f aca="false">IF(INDEX(Events!$B$2:$B$67,MATCH(C$4,Events!$A$2:$A$67,0))="","TBC",INDEX(Events!$B$2:$B$67,MATCH(C$4,Events!$A$2:$A$67,0)))</f>
        <v>46031</v>
      </c>
      <c r="D6" s="19" t="n">
        <f aca="false">IF(INDEX(Events!$B$2:$B$67,MATCH(D$4,Events!$A$2:$A$67,0))="","TBC",INDEX(Events!$B$2:$B$67,MATCH(D$4,Events!$A$2:$A$67,0)))</f>
        <v>46054</v>
      </c>
      <c r="E6" s="19" t="n">
        <f aca="false">IF(INDEX(Events!$B$2:$B$67,MATCH(E$4,Events!$A$2:$A$67,0))="","TBC",INDEX(Events!$B$2:$B$67,MATCH(E$4,Events!$A$2:$A$67,0)))</f>
        <v>46074</v>
      </c>
      <c r="F6" s="19" t="n">
        <f aca="false">IF(INDEX(Events!$B$2:$B$67,MATCH(F$4,Events!$A$2:$A$67,0))="","TBC",INDEX(Events!$B$2:$B$67,MATCH(F$4,Events!$A$2:$A$67,0)))</f>
        <v>46085</v>
      </c>
      <c r="G6" s="19" t="n">
        <f aca="false">IF(INDEX(Events!$B$2:$B$67,MATCH(G$4,Events!$A$2:$A$67,0))="","TBC",INDEX(Events!$B$2:$B$67,MATCH(G$4,Events!$A$2:$A$67,0)))</f>
        <v>46089</v>
      </c>
      <c r="H6" s="19" t="n">
        <f aca="false">IF(INDEX(Events!$B$2:$B$67,MATCH(H$4,Events!$A$2:$A$67,0))="","TBC",INDEX(Events!$B$2:$B$67,MATCH(H$4,Events!$A$2:$A$67,0)))</f>
        <v>46096</v>
      </c>
      <c r="I6" s="19" t="n">
        <f aca="false">IF(INDEX(Events!$B$2:$B$67,MATCH(I$4,Events!$A$2:$A$67,0))="","TBC",INDEX(Events!$B$2:$B$67,MATCH(I$4,Events!$A$2:$A$67,0)))</f>
        <v>46103</v>
      </c>
      <c r="J6" s="19" t="n">
        <f aca="false">IF(INDEX(Events!$B$2:$B$67,MATCH(J$4,Events!$A$2:$A$67,0))="","TBC",INDEX(Events!$B$2:$B$67,MATCH(J$4,Events!$A$2:$A$67,0)))</f>
        <v>46109</v>
      </c>
      <c r="K6" s="19" t="n">
        <f aca="false">IF(INDEX(Events!$B$2:$B$67,MATCH(K$4,Events!$A$2:$A$67,0))="","TBC",INDEX(Events!$B$2:$B$67,MATCH(K$4,Events!$A$2:$A$67,0)))</f>
        <v>46116</v>
      </c>
      <c r="L6" s="19" t="n">
        <f aca="false">IF(INDEX(Events!$B$2:$B$67,MATCH(L$4,Events!$A$2:$A$67,0))="","TBC",INDEX(Events!$B$2:$B$67,MATCH(L$4,Events!$A$2:$A$67,0)))</f>
        <v>46118</v>
      </c>
      <c r="M6" s="19" t="n">
        <f aca="false">IF(INDEX(Events!$B$2:$B$67,MATCH(M$4,Events!$A$2:$A$67,0))="","TBC",INDEX(Events!$B$2:$B$67,MATCH(M$4,Events!$A$2:$A$67,0)))</f>
        <v>46120</v>
      </c>
      <c r="N6" s="19" t="n">
        <f aca="false">IF(INDEX(Events!$B$2:$B$67,MATCH(N$4,Events!$A$2:$A$67,0))="","TBC",INDEX(Events!$B$2:$B$67,MATCH(N$4,Events!$A$2:$A$67,0)))</f>
        <v>46124</v>
      </c>
      <c r="O6" s="19" t="n">
        <f aca="false">IF(INDEX(Events!$B$2:$B$67,MATCH(O$4,Events!$A$2:$A$67,0))="","TBC",INDEX(Events!$B$2:$B$67,MATCH(O$4,Events!$A$2:$A$67,0)))</f>
        <v>46129</v>
      </c>
      <c r="P6" s="19" t="n">
        <f aca="false">IF(INDEX(Events!$B$2:$B$67,MATCH(P$4,Events!$A$2:$A$67,0))="","TBC",INDEX(Events!$B$2:$B$67,MATCH(P$4,Events!$A$2:$A$67,0)))</f>
        <v>46129</v>
      </c>
      <c r="Q6" s="19" t="n">
        <f aca="false">IF(INDEX(Events!$B$2:$B$67,MATCH(Q$4,Events!$A$2:$A$67,0))="","TBC",INDEX(Events!$B$2:$B$67,MATCH(Q$4,Events!$A$2:$A$67,0)))</f>
        <v>46130</v>
      </c>
      <c r="R6" s="19" t="n">
        <f aca="false">IF(INDEX(Events!$B$2:$B$67,MATCH(R$4,Events!$A$2:$A$67,0))="","TBC",INDEX(Events!$B$2:$B$67,MATCH(R$4,Events!$A$2:$A$67,0)))</f>
        <v>46136</v>
      </c>
      <c r="S6" s="19" t="n">
        <f aca="false">IF(INDEX(Events!$B$2:$B$67,MATCH(S$4,Events!$A$2:$A$67,0))="","TBC",INDEX(Events!$B$2:$B$67,MATCH(S$4,Events!$A$2:$A$67,0)))</f>
        <v>46136</v>
      </c>
      <c r="T6" s="19" t="n">
        <f aca="false">IF(INDEX(Events!$B$2:$B$67,MATCH(T$4,Events!$A$2:$A$67,0))="","TBC",INDEX(Events!$B$2:$B$67,MATCH(T$4,Events!$A$2:$A$67,0)))</f>
        <v>46137</v>
      </c>
      <c r="U6" s="19" t="n">
        <f aca="false">IF(INDEX(Events!$B$2:$B$67,MATCH(U$4,Events!$A$2:$A$67,0))="","TBC",INDEX(Events!$B$2:$B$67,MATCH(U$4,Events!$A$2:$A$67,0)))</f>
        <v>46142</v>
      </c>
      <c r="V6" s="19" t="n">
        <f aca="false">IF(INDEX(Events!$B$2:$B$67,MATCH(V$4,Events!$A$2:$A$67,0))="","TBC",INDEX(Events!$B$2:$B$67,MATCH(V$4,Events!$A$2:$A$67,0)))</f>
        <v>46145</v>
      </c>
      <c r="W6" s="19" t="n">
        <f aca="false">IF(INDEX(Events!$B$2:$B$67,MATCH(W$4,Events!$A$2:$A$67,0))="","TBC",INDEX(Events!$B$2:$B$67,MATCH(W$4,Events!$A$2:$A$67,0)))</f>
        <v>46151</v>
      </c>
      <c r="X6" s="19" t="n">
        <f aca="false">IF(INDEX(Events!$B$2:$B$67,MATCH(X$4,Events!$A$2:$A$67,0))="","TBC",INDEX(Events!$B$2:$B$67,MATCH(X$4,Events!$A$2:$A$67,0)))</f>
        <v>46152</v>
      </c>
      <c r="Y6" s="19" t="n">
        <f aca="false">IF(INDEX(Events!$B$2:$B$67,MATCH(Y$4,Events!$A$2:$A$67,0))="","TBC",INDEX(Events!$B$2:$B$67,MATCH(Y$4,Events!$A$2:$A$67,0)))</f>
        <v>46152</v>
      </c>
      <c r="Z6" s="19" t="n">
        <f aca="false">IF(INDEX(Events!$B$2:$B$67,MATCH(Z$4,Events!$A$2:$A$67,0))="","TBC",INDEX(Events!$B$2:$B$67,MATCH(Z$4,Events!$A$2:$A$67,0)))</f>
        <v>46156</v>
      </c>
      <c r="AA6" s="19" t="n">
        <f aca="false">IF(INDEX(Events!$B$2:$B$67,MATCH(AA$4,Events!$A$2:$A$67,0))="","TBC",INDEX(Events!$B$2:$B$67,MATCH(AA$4,Events!$A$2:$A$67,0)))</f>
        <v>46158</v>
      </c>
      <c r="AB6" s="19" t="n">
        <f aca="false">IF(INDEX(Events!$B$2:$B$67,MATCH(AB$4,Events!$A$2:$A$67,0))="","TBC",INDEX(Events!$B$2:$B$67,MATCH(AB$4,Events!$A$2:$A$67,0)))</f>
        <v>46164</v>
      </c>
      <c r="AC6" s="19" t="n">
        <f aca="false">IF(INDEX(Events!$B$2:$B$67,MATCH(AC$4,Events!$A$2:$A$67,0))="","TBC",INDEX(Events!$B$2:$B$67,MATCH(AC$4,Events!$A$2:$A$67,0)))</f>
        <v>46165</v>
      </c>
      <c r="AD6" s="19" t="n">
        <f aca="false">IF(INDEX(Events!$B$2:$B$67,MATCH(AD$4,Events!$A$2:$A$67,0))="","TBC",INDEX(Events!$B$2:$B$67,MATCH(AD$4,Events!$A$2:$A$67,0)))</f>
        <v>46172</v>
      </c>
      <c r="AE6" s="19" t="n">
        <f aca="false">IF(INDEX(Events!$B$2:$B$67,MATCH(AE$4,Events!$A$2:$A$67,0))="","TBC",INDEX(Events!$B$2:$B$67,MATCH(AE$4,Events!$A$2:$A$67,0)))</f>
        <v>46172</v>
      </c>
      <c r="AF6" s="19" t="n">
        <f aca="false">IF(INDEX(Events!$B$2:$B$67,MATCH(AF$4,Events!$A$2:$A$67,0))="","TBC",INDEX(Events!$B$2:$B$67,MATCH(AF$4,Events!$A$2:$A$67,0)))</f>
        <v>46180</v>
      </c>
      <c r="AG6" s="19" t="n">
        <f aca="false">IF(INDEX(Events!$B$2:$B$67,MATCH(AG$4,Events!$A$2:$A$67,0))="","TBC",INDEX(Events!$B$2:$B$67,MATCH(AG$4,Events!$A$2:$A$67,0)))</f>
        <v>46186</v>
      </c>
      <c r="AH6" s="19" t="n">
        <f aca="false">IF(INDEX(Events!$B$2:$B$67,MATCH(AH$4,Events!$A$2:$A$67,0))="","TBC",INDEX(Events!$B$2:$B$67,MATCH(AH$4,Events!$A$2:$A$67,0)))</f>
        <v>46193</v>
      </c>
      <c r="AI6" s="19" t="n">
        <f aca="false">IF(INDEX(Events!$B$2:$B$67,MATCH(AI$4,Events!$A$2:$A$67,0))="","TBC",INDEX(Events!$B$2:$B$67,MATCH(AI$4,Events!$A$2:$A$67,0)))</f>
        <v>46194</v>
      </c>
      <c r="AJ6" s="19" t="n">
        <f aca="false">IF(INDEX(Events!$B$2:$B$67,MATCH(AJ$4,Events!$A$2:$A$67,0))="","TBC",INDEX(Events!$B$2:$B$67,MATCH(AJ$4,Events!$A$2:$A$67,0)))</f>
        <v>46198</v>
      </c>
      <c r="AK6" s="19" t="n">
        <f aca="false">IF(INDEX(Events!$B$2:$B$67,MATCH(AK$4,Events!$A$2:$A$67,0))="","TBC",INDEX(Events!$B$2:$B$67,MATCH(AK$4,Events!$A$2:$A$67,0)))</f>
        <v>46198</v>
      </c>
      <c r="AL6" s="19" t="n">
        <f aca="false">IF(INDEX(Events!$B$2:$B$67,MATCH(AL$4,Events!$A$2:$A$67,0))="","TBC",INDEX(Events!$B$2:$B$67,MATCH(AL$4,Events!$A$2:$A$67,0)))</f>
        <v>46198</v>
      </c>
      <c r="AM6" s="19" t="n">
        <f aca="false">IF(INDEX(Events!$B$2:$B$67,MATCH(AM$4,Events!$A$2:$A$67,0))="","TBC",INDEX(Events!$B$2:$B$67,MATCH(AM$4,Events!$A$2:$A$67,0)))</f>
        <v>46210</v>
      </c>
      <c r="AN6" s="19" t="n">
        <f aca="false">IF(INDEX(Events!$B$2:$B$67,MATCH(AN$4,Events!$A$2:$A$67,0))="","TBC",INDEX(Events!$B$2:$B$67,MATCH(AN$4,Events!$A$2:$A$67,0)))</f>
        <v>46214</v>
      </c>
      <c r="AO6" s="19" t="n">
        <f aca="false">IF(INDEX(Events!$B$2:$B$67,MATCH(AO$4,Events!$A$2:$A$67,0))="","TBC",INDEX(Events!$B$2:$B$67,MATCH(AO$4,Events!$A$2:$A$67,0)))</f>
        <v>46214</v>
      </c>
      <c r="AP6" s="19" t="n">
        <f aca="false">IF(INDEX(Events!$B$2:$B$67,MATCH(AP$4,Events!$A$2:$A$67,0))="","TBC",INDEX(Events!$B$2:$B$67,MATCH(AP$4,Events!$A$2:$A$67,0)))</f>
        <v>46219</v>
      </c>
      <c r="AQ6" s="19" t="n">
        <f aca="false">IF(INDEX(Events!$B$2:$B$67,MATCH(AQ$4,Events!$A$2:$A$67,0))="","TBC",INDEX(Events!$B$2:$B$67,MATCH(AQ$4,Events!$A$2:$A$67,0)))</f>
        <v>46227</v>
      </c>
      <c r="AR6" s="19" t="n">
        <f aca="false">IF(INDEX(Events!$B$2:$B$67,MATCH(AR$4,Events!$A$2:$A$67,0))="","TBC",INDEX(Events!$B$2:$B$67,MATCH(AR$4,Events!$A$2:$A$67,0)))</f>
        <v>46227</v>
      </c>
      <c r="AS6" s="19" t="n">
        <f aca="false">IF(INDEX(Events!$B$2:$B$67,MATCH(AS$4,Events!$A$2:$A$67,0))="","TBC",INDEX(Events!$B$2:$B$67,MATCH(AS$4,Events!$A$2:$A$67,0)))</f>
        <v>46234</v>
      </c>
      <c r="AT6" s="19" t="n">
        <f aca="false">IF(INDEX(Events!$B$2:$B$67,MATCH(AT$4,Events!$A$2:$A$67,0))="","TBC",INDEX(Events!$B$2:$B$67,MATCH(AT$4,Events!$A$2:$A$67,0)))</f>
        <v>46235</v>
      </c>
      <c r="AU6" s="19" t="n">
        <f aca="false">IF(INDEX(Events!$B$2:$B$67,MATCH(AU$4,Events!$A$2:$A$67,0))="","TBC",INDEX(Events!$B$2:$B$67,MATCH(AU$4,Events!$A$2:$A$67,0)))</f>
        <v>46238</v>
      </c>
      <c r="AV6" s="19" t="n">
        <f aca="false">IF(INDEX(Events!$B$2:$B$67,MATCH(AV$4,Events!$A$2:$A$67,0))="","TBC",INDEX(Events!$B$2:$B$67,MATCH(AV$4,Events!$A$2:$A$67,0)))</f>
        <v>46248</v>
      </c>
      <c r="AW6" s="19" t="n">
        <f aca="false">IF(INDEX(Events!$B$2:$B$67,MATCH(AW$4,Events!$A$2:$A$67,0))="","TBC",INDEX(Events!$B$2:$B$67,MATCH(AW$4,Events!$A$2:$A$67,0)))</f>
        <v>46252</v>
      </c>
      <c r="AX6" s="19" t="n">
        <f aca="false">IF(INDEX(Events!$B$2:$B$67,MATCH(AX$4,Events!$A$2:$A$67,0))="","TBC",INDEX(Events!$B$2:$B$67,MATCH(AX$4,Events!$A$2:$A$67,0)))</f>
        <v>46253</v>
      </c>
      <c r="AY6" s="19" t="n">
        <f aca="false">IF(INDEX(Events!$B$2:$B$67,MATCH(AY$4,Events!$A$2:$A$67,0))="","TBC",INDEX(Events!$B$2:$B$67,MATCH(AY$4,Events!$A$2:$A$67,0)))</f>
        <v>46254</v>
      </c>
      <c r="AZ6" s="19" t="n">
        <f aca="false">IF(INDEX(Events!$B$2:$B$67,MATCH(AZ$4,Events!$A$2:$A$67,0))="","TBC",INDEX(Events!$B$2:$B$67,MATCH(AZ$4,Events!$A$2:$A$67,0)))</f>
        <v>46255</v>
      </c>
      <c r="BA6" s="19" t="n">
        <f aca="false">IF(INDEX(Events!$B$2:$B$67,MATCH(BA$4,Events!$A$2:$A$67,0))="","TBC",INDEX(Events!$B$2:$B$67,MATCH(BA$4,Events!$A$2:$A$67,0)))</f>
        <v>46260</v>
      </c>
      <c r="BB6" s="19" t="n">
        <f aca="false">IF(INDEX(Events!$B$2:$B$67,MATCH(BB$4,Events!$A$2:$A$67,0))="","TBC",INDEX(Events!$B$2:$B$67,MATCH(BB$4,Events!$A$2:$A$67,0)))</f>
        <v>46261</v>
      </c>
      <c r="BC6" s="19" t="n">
        <f aca="false">IF(INDEX(Events!$B$2:$B$67,MATCH(BC$4,Events!$A$2:$A$67,0))="","TBC",INDEX(Events!$B$2:$B$67,MATCH(BC$4,Events!$A$2:$A$67,0)))</f>
        <v>46263</v>
      </c>
      <c r="BD6" s="19" t="n">
        <f aca="false">IF(INDEX(Events!$B$2:$B$67,MATCH(BD$4,Events!$A$2:$A$67,0))="","TBC",INDEX(Events!$B$2:$B$67,MATCH(BD$4,Events!$A$2:$A$67,0)))</f>
        <v>46271</v>
      </c>
      <c r="BE6" s="19" t="n">
        <f aca="false">IF(INDEX(Events!$B$2:$B$67,MATCH(BE$4,Events!$A$2:$A$67,0))="","TBC",INDEX(Events!$B$2:$B$67,MATCH(BE$4,Events!$A$2:$A$67,0)))</f>
        <v>46277</v>
      </c>
      <c r="BF6" s="19" t="n">
        <f aca="false">IF(INDEX(Events!$B$2:$B$67,MATCH(BF$4,Events!$A$2:$A$67,0))="","TBC",INDEX(Events!$B$2:$B$67,MATCH(BF$4,Events!$A$2:$A$67,0)))</f>
        <v>46284</v>
      </c>
      <c r="BG6" s="19" t="n">
        <f aca="false">IF(INDEX(Events!$B$2:$B$67,MATCH(BG$4,Events!$A$2:$A$67,0))="","TBC",INDEX(Events!$B$2:$B$67,MATCH(BG$4,Events!$A$2:$A$67,0)))</f>
        <v>46285</v>
      </c>
      <c r="BH6" s="19" t="n">
        <f aca="false">IF(INDEX(Events!$B$2:$B$67,MATCH(BH$4,Events!$A$2:$A$67,0))="","TBC",INDEX(Events!$B$2:$B$67,MATCH(BH$4,Events!$A$2:$A$67,0)))</f>
        <v>46287</v>
      </c>
      <c r="BI6" s="19" t="n">
        <f aca="false">IF(INDEX(Events!$B$2:$B$67,MATCH(BI$4,Events!$A$2:$A$67,0))="","TBC",INDEX(Events!$B$2:$B$67,MATCH(BI$4,Events!$A$2:$A$67,0)))</f>
        <v>46292</v>
      </c>
      <c r="BJ6" s="19" t="n">
        <f aca="false">IF(INDEX(Events!$B$2:$B$67,MATCH(BJ$4,Events!$A$2:$A$67,0))="","TBC",INDEX(Events!$B$2:$B$67,MATCH(BJ$4,Events!$A$2:$A$67,0)))</f>
        <v>46298</v>
      </c>
      <c r="BK6" s="19" t="n">
        <f aca="false">IF(INDEX(Events!$B$2:$B$67,MATCH(BK$4,Events!$A$2:$A$67,0))="","TBC",INDEX(Events!$B$2:$B$67,MATCH(BK$4,Events!$A$2:$A$67,0)))</f>
        <v>46318</v>
      </c>
      <c r="BL6" s="19" t="str">
        <f aca="false">IF(INDEX(Events!$B$2:$B$67,MATCH(BL$4,Events!$A$2:$A$67,0))="","TBC",INDEX(Events!$B$2:$B$67,MATCH(BL$4,Events!$A$2:$A$67,0)))</f>
        <v>TBC</v>
      </c>
    </row>
    <row r="7" customFormat="false" ht="15" hidden="false" customHeight="false" outlineLevel="0" collapsed="false">
      <c r="A7" s="7" t="str">
        <f aca="false">Riders!A5</f>
        <v>Olga Wankiewicz</v>
      </c>
      <c r="B7" s="20" t="str">
        <f aca="false">IF(COUNTIFS(Results!$F$2:$F$482,$A7,Results!$A$2:$A$482,B$4)=0,"",IF(COUNTIFS(Results!$F$2:$F$482,$A7,Results!$A$2:$A$482,B$4,Results!$G$2:$G$482,"&gt;0")&gt;0,_xlfn.MINIFS(Results!$G$2:$G$482,Results!$F$2:$F$482,$A7,Results!$A$2:$A$482,B$4,Results!$G$2:$G$482,"&gt;0"),IF(COUNTIFS(Results!$F$2:$F$482,$A7,Results!$A$2:$A$482,B$4,Results!$H$2:$H$482,"DNF")&gt;0,"DNF","•")))</f>
        <v/>
      </c>
      <c r="C7" s="20" t="str">
        <f aca="false">IF(COUNTIFS(Results!$F$2:$F$482,$A7,Results!$A$2:$A$482,C$4)=0,"",IF(COUNTIFS(Results!$F$2:$F$482,$A7,Results!$A$2:$A$482,C$4,Results!$G$2:$G$482,"&gt;0")&gt;0,_xlfn.MINIFS(Results!$G$2:$G$482,Results!$F$2:$F$482,$A7,Results!$A$2:$A$482,C$4,Results!$G$2:$G$482,"&gt;0"),IF(COUNTIFS(Results!$F$2:$F$482,$A7,Results!$A$2:$A$482,C$4,Results!$H$2:$H$482,"DNF")&gt;0,"DNF","•")))</f>
        <v/>
      </c>
      <c r="D7" s="20" t="str">
        <f aca="false">IF(COUNTIFS(Results!$F$2:$F$482,$A7,Results!$A$2:$A$482,D$4)=0,"",IF(COUNTIFS(Results!$F$2:$F$482,$A7,Results!$A$2:$A$482,D$4,Results!$G$2:$G$482,"&gt;0")&gt;0,_xlfn.MINIFS(Results!$G$2:$G$482,Results!$F$2:$F$482,$A7,Results!$A$2:$A$482,D$4,Results!$G$2:$G$482,"&gt;0"),IF(COUNTIFS(Results!$F$2:$F$482,$A7,Results!$A$2:$A$482,D$4,Results!$H$2:$H$482,"DNF")&gt;0,"DNF","•")))</f>
        <v/>
      </c>
      <c r="E7" s="20" t="str">
        <f aca="false">IF(COUNTIFS(Results!$F$2:$F$482,$A7,Results!$A$2:$A$482,E$4)=0,"",IF(COUNTIFS(Results!$F$2:$F$482,$A7,Results!$A$2:$A$482,E$4,Results!$G$2:$G$482,"&gt;0")&gt;0,_xlfn.MINIFS(Results!$G$2:$G$482,Results!$F$2:$F$482,$A7,Results!$A$2:$A$482,E$4,Results!$G$2:$G$482,"&gt;0"),IF(COUNTIFS(Results!$F$2:$F$482,$A7,Results!$A$2:$A$482,E$4,Results!$H$2:$H$482,"DNF")&gt;0,"DNF","•")))</f>
        <v/>
      </c>
      <c r="F7" s="20" t="n">
        <f aca="false">IF(COUNTIFS(Results!$F$2:$F$482,$A7,Results!$A$2:$A$482,F$4)=0,"",IF(COUNTIFS(Results!$F$2:$F$482,$A7,Results!$A$2:$A$482,F$4,Results!$G$2:$G$482,"&gt;0")&gt;0,_xlfn.MINIFS(Results!$G$2:$G$482,Results!$F$2:$F$482,$A7,Results!$A$2:$A$482,F$4,Results!$G$2:$G$482,"&gt;0"),IF(COUNTIFS(Results!$F$2:$F$482,$A7,Results!$A$2:$A$482,F$4,Results!$H$2:$H$482,"DNF")&gt;0,"DNF","•")))</f>
        <v>13</v>
      </c>
      <c r="G7" s="20" t="n">
        <f aca="false">IF(COUNTIFS(Results!$F$2:$F$482,$A7,Results!$A$2:$A$482,G$4)=0,"",IF(COUNTIFS(Results!$F$2:$F$482,$A7,Results!$A$2:$A$482,G$4,Results!$G$2:$G$482,"&gt;0")&gt;0,_xlfn.MINIFS(Results!$G$2:$G$482,Results!$F$2:$F$482,$A7,Results!$A$2:$A$482,G$4,Results!$G$2:$G$482,"&gt;0"),IF(COUNTIFS(Results!$F$2:$F$482,$A7,Results!$A$2:$A$482,G$4,Results!$H$2:$H$482,"DNF")&gt;0,"DNF","•")))</f>
        <v>2</v>
      </c>
      <c r="H7" s="20" t="str">
        <f aca="false">IF(COUNTIFS(Results!$F$2:$F$482,$A7,Results!$A$2:$A$482,H$4)=0,"",IF(COUNTIFS(Results!$F$2:$F$482,$A7,Results!$A$2:$A$482,H$4,Results!$G$2:$G$482,"&gt;0")&gt;0,_xlfn.MINIFS(Results!$G$2:$G$482,Results!$F$2:$F$482,$A7,Results!$A$2:$A$482,H$4,Results!$G$2:$G$482,"&gt;0"),IF(COUNTIFS(Results!$F$2:$F$482,$A7,Results!$A$2:$A$482,H$4,Results!$H$2:$H$482,"DNF")&gt;0,"DNF","•")))</f>
        <v/>
      </c>
      <c r="I7" s="20" t="n">
        <f aca="false">IF(COUNTIFS(Results!$F$2:$F$482,$A7,Results!$A$2:$A$482,I$4)=0,"",IF(COUNTIFS(Results!$F$2:$F$482,$A7,Results!$A$2:$A$482,I$4,Results!$G$2:$G$482,"&gt;0")&gt;0,_xlfn.MINIFS(Results!$G$2:$G$482,Results!$F$2:$F$482,$A7,Results!$A$2:$A$482,I$4,Results!$G$2:$G$482,"&gt;0"),IF(COUNTIFS(Results!$F$2:$F$482,$A7,Results!$A$2:$A$482,I$4,Results!$H$2:$H$482,"DNF")&gt;0,"DNF","•")))</f>
        <v>9</v>
      </c>
      <c r="J7" s="20" t="str">
        <f aca="false">IF(COUNTIFS(Results!$F$2:$F$482,$A7,Results!$A$2:$A$482,J$4)=0,"",IF(COUNTIFS(Results!$F$2:$F$482,$A7,Results!$A$2:$A$482,J$4,Results!$G$2:$G$482,"&gt;0")&gt;0,_xlfn.MINIFS(Results!$G$2:$G$482,Results!$F$2:$F$482,$A7,Results!$A$2:$A$482,J$4,Results!$G$2:$G$482,"&gt;0"),IF(COUNTIFS(Results!$F$2:$F$482,$A7,Results!$A$2:$A$482,J$4,Results!$H$2:$H$482,"DNF")&gt;0,"DNF","•")))</f>
        <v/>
      </c>
      <c r="K7" s="20" t="n">
        <f aca="false">IF(COUNTIFS(Results!$F$2:$F$482,$A7,Results!$A$2:$A$482,K$4)=0,"",IF(COUNTIFS(Results!$F$2:$F$482,$A7,Results!$A$2:$A$482,K$4,Results!$G$2:$G$482,"&gt;0")&gt;0,_xlfn.MINIFS(Results!$G$2:$G$482,Results!$F$2:$F$482,$A7,Results!$A$2:$A$482,K$4,Results!$G$2:$G$482,"&gt;0"),IF(COUNTIFS(Results!$F$2:$F$482,$A7,Results!$A$2:$A$482,K$4,Results!$H$2:$H$482,"DNF")&gt;0,"DNF","•")))</f>
        <v>21</v>
      </c>
      <c r="L7" s="20" t="n">
        <f aca="false">IF(COUNTIFS(Results!$F$2:$F$482,$A7,Results!$A$2:$A$482,L$4)=0,"",IF(COUNTIFS(Results!$F$2:$F$482,$A7,Results!$A$2:$A$482,L$4,Results!$G$2:$G$482,"&gt;0")&gt;0,_xlfn.MINIFS(Results!$G$2:$G$482,Results!$F$2:$F$482,$A7,Results!$A$2:$A$482,L$4,Results!$G$2:$G$482,"&gt;0"),IF(COUNTIFS(Results!$F$2:$F$482,$A7,Results!$A$2:$A$482,L$4,Results!$H$2:$H$482,"DNF")&gt;0,"DNF","•")))</f>
        <v>7</v>
      </c>
      <c r="M7" s="20" t="str">
        <f aca="false">IF(COUNTIFS(Results!$F$2:$F$482,$A7,Results!$A$2:$A$482,M$4)=0,"",IF(COUNTIFS(Results!$F$2:$F$482,$A7,Results!$A$2:$A$482,M$4,Results!$G$2:$G$482,"&gt;0")&gt;0,_xlfn.MINIFS(Results!$G$2:$G$482,Results!$F$2:$F$482,$A7,Results!$A$2:$A$482,M$4,Results!$G$2:$G$482,"&gt;0"),IF(COUNTIFS(Results!$F$2:$F$482,$A7,Results!$A$2:$A$482,M$4,Results!$H$2:$H$482,"DNF")&gt;0,"DNF","•")))</f>
        <v/>
      </c>
      <c r="N7" s="20" t="n">
        <f aca="false">IF(COUNTIFS(Results!$F$2:$F$482,$A7,Results!$A$2:$A$482,N$4)=0,"",IF(COUNTIFS(Results!$F$2:$F$482,$A7,Results!$A$2:$A$482,N$4,Results!$G$2:$G$482,"&gt;0")&gt;0,_xlfn.MINIFS(Results!$G$2:$G$482,Results!$F$2:$F$482,$A7,Results!$A$2:$A$482,N$4,Results!$G$2:$G$482,"&gt;0"),IF(COUNTIFS(Results!$F$2:$F$482,$A7,Results!$A$2:$A$482,N$4,Results!$H$2:$H$482,"DNF")&gt;0,"DNF","•")))</f>
        <v>3</v>
      </c>
      <c r="O7" s="20" t="str">
        <f aca="false">IF(COUNTIFS(Results!$F$2:$F$482,$A7,Results!$A$2:$A$482,O$4)=0,"",IF(COUNTIFS(Results!$F$2:$F$482,$A7,Results!$A$2:$A$482,O$4,Results!$G$2:$G$482,"&gt;0")&gt;0,_xlfn.MINIFS(Results!$G$2:$G$482,Results!$F$2:$F$482,$A7,Results!$A$2:$A$482,O$4,Results!$G$2:$G$482,"&gt;0"),IF(COUNTIFS(Results!$F$2:$F$482,$A7,Results!$A$2:$A$482,O$4,Results!$H$2:$H$482,"DNF")&gt;0,"DNF","•")))</f>
        <v/>
      </c>
      <c r="P7" s="20" t="n">
        <f aca="false">IF(COUNTIFS(Results!$F$2:$F$482,$A7,Results!$A$2:$A$482,P$4)=0,"",IF(COUNTIFS(Results!$F$2:$F$482,$A7,Results!$A$2:$A$482,P$4,Results!$G$2:$G$482,"&gt;0")&gt;0,_xlfn.MINIFS(Results!$G$2:$G$482,Results!$F$2:$F$482,$A7,Results!$A$2:$A$482,P$4,Results!$G$2:$G$482,"&gt;0"),IF(COUNTIFS(Results!$F$2:$F$482,$A7,Results!$A$2:$A$482,P$4,Results!$H$2:$H$482,"DNF")&gt;0,"DNF","•")))</f>
        <v>9</v>
      </c>
      <c r="Q7" s="20" t="str">
        <f aca="false">IF(COUNTIFS(Results!$F$2:$F$482,$A7,Results!$A$2:$A$482,Q$4)=0,"",IF(COUNTIFS(Results!$F$2:$F$482,$A7,Results!$A$2:$A$482,Q$4,Results!$G$2:$G$482,"&gt;0")&gt;0,_xlfn.MINIFS(Results!$G$2:$G$482,Results!$F$2:$F$482,$A7,Results!$A$2:$A$482,Q$4,Results!$G$2:$G$482,"&gt;0"),IF(COUNTIFS(Results!$F$2:$F$482,$A7,Results!$A$2:$A$482,Q$4,Results!$H$2:$H$482,"DNF")&gt;0,"DNF","•")))</f>
        <v/>
      </c>
      <c r="R7" s="20" t="str">
        <f aca="false">IF(COUNTIFS(Results!$F$2:$F$482,$A7,Results!$A$2:$A$482,R$4)=0,"",IF(COUNTIFS(Results!$F$2:$F$482,$A7,Results!$A$2:$A$482,R$4,Results!$G$2:$G$482,"&gt;0")&gt;0,_xlfn.MINIFS(Results!$G$2:$G$482,Results!$F$2:$F$482,$A7,Results!$A$2:$A$482,R$4,Results!$G$2:$G$482,"&gt;0"),IF(COUNTIFS(Results!$F$2:$F$482,$A7,Results!$A$2:$A$482,R$4,Results!$H$2:$H$482,"DNF")&gt;0,"DNF","•")))</f>
        <v/>
      </c>
      <c r="S7" s="20" t="n">
        <f aca="false">IF(COUNTIFS(Results!$F$2:$F$482,$A7,Results!$A$2:$A$482,S$4)=0,"",IF(COUNTIFS(Results!$F$2:$F$482,$A7,Results!$A$2:$A$482,S$4,Results!$G$2:$G$482,"&gt;0")&gt;0,_xlfn.MINIFS(Results!$G$2:$G$482,Results!$F$2:$F$482,$A7,Results!$A$2:$A$482,S$4,Results!$G$2:$G$482,"&gt;0"),IF(COUNTIFS(Results!$F$2:$F$482,$A7,Results!$A$2:$A$482,S$4,Results!$H$2:$H$482,"DNF")&gt;0,"DNF","•")))</f>
        <v>8</v>
      </c>
      <c r="T7" s="20" t="str">
        <f aca="false">IF(COUNTIFS(Results!$F$2:$F$482,$A7,Results!$A$2:$A$482,T$4)=0,"",IF(COUNTIFS(Results!$F$2:$F$482,$A7,Results!$A$2:$A$482,T$4,Results!$G$2:$G$482,"&gt;0")&gt;0,_xlfn.MINIFS(Results!$G$2:$G$482,Results!$F$2:$F$482,$A7,Results!$A$2:$A$482,T$4,Results!$G$2:$G$482,"&gt;0"),IF(COUNTIFS(Results!$F$2:$F$482,$A7,Results!$A$2:$A$482,T$4,Results!$H$2:$H$482,"DNF")&gt;0,"DNF","•")))</f>
        <v/>
      </c>
      <c r="U7" s="20" t="str">
        <f aca="false">IF(COUNTIFS(Results!$F$2:$F$482,$A7,Results!$A$2:$A$482,U$4)=0,"",IF(COUNTIFS(Results!$F$2:$F$482,$A7,Results!$A$2:$A$482,U$4,Results!$G$2:$G$482,"&gt;0")&gt;0,_xlfn.MINIFS(Results!$G$2:$G$482,Results!$F$2:$F$482,$A7,Results!$A$2:$A$482,U$4,Results!$G$2:$G$482,"&gt;0"),IF(COUNTIFS(Results!$F$2:$F$482,$A7,Results!$A$2:$A$482,U$4,Results!$H$2:$H$482,"DNF")&gt;0,"DNF","•")))</f>
        <v/>
      </c>
      <c r="V7" s="20" t="str">
        <f aca="false">IF(COUNTIFS(Results!$F$2:$F$482,$A7,Results!$A$2:$A$482,V$4)=0,"",IF(COUNTIFS(Results!$F$2:$F$482,$A7,Results!$A$2:$A$482,V$4,Results!$G$2:$G$482,"&gt;0")&gt;0,_xlfn.MINIFS(Results!$G$2:$G$482,Results!$F$2:$F$482,$A7,Results!$A$2:$A$482,V$4,Results!$G$2:$G$482,"&gt;0"),IF(COUNTIFS(Results!$F$2:$F$482,$A7,Results!$A$2:$A$482,V$4,Results!$H$2:$H$482,"DNF")&gt;0,"DNF","•")))</f>
        <v/>
      </c>
      <c r="W7" s="20" t="str">
        <f aca="false">IF(COUNTIFS(Results!$F$2:$F$482,$A7,Results!$A$2:$A$482,W$4)=0,"",IF(COUNTIFS(Results!$F$2:$F$482,$A7,Results!$A$2:$A$482,W$4,Results!$G$2:$G$482,"&gt;0")&gt;0,_xlfn.MINIFS(Results!$G$2:$G$482,Results!$F$2:$F$482,$A7,Results!$A$2:$A$482,W$4,Results!$G$2:$G$482,"&gt;0"),IF(COUNTIFS(Results!$F$2:$F$482,$A7,Results!$A$2:$A$482,W$4,Results!$H$2:$H$482,"DNF")&gt;0,"DNF","•")))</f>
        <v/>
      </c>
      <c r="X7" s="20" t="str">
        <f aca="false">IF(COUNTIFS(Results!$F$2:$F$482,$A7,Results!$A$2:$A$482,X$4)=0,"",IF(COUNTIFS(Results!$F$2:$F$482,$A7,Results!$A$2:$A$482,X$4,Results!$G$2:$G$482,"&gt;0")&gt;0,_xlfn.MINIFS(Results!$G$2:$G$482,Results!$F$2:$F$482,$A7,Results!$A$2:$A$482,X$4,Results!$G$2:$G$482,"&gt;0"),IF(COUNTIFS(Results!$F$2:$F$482,$A7,Results!$A$2:$A$482,X$4,Results!$H$2:$H$482,"DNF")&gt;0,"DNF","•")))</f>
        <v/>
      </c>
      <c r="Y7" s="20" t="str">
        <f aca="false">IF(COUNTIFS(Results!$F$2:$F$482,$A7,Results!$A$2:$A$482,Y$4)=0,"",IF(COUNTIFS(Results!$F$2:$F$482,$A7,Results!$A$2:$A$482,Y$4,Results!$G$2:$G$482,"&gt;0")&gt;0,_xlfn.MINIFS(Results!$G$2:$G$482,Results!$F$2:$F$482,$A7,Results!$A$2:$A$482,Y$4,Results!$G$2:$G$482,"&gt;0"),IF(COUNTIFS(Results!$F$2:$F$482,$A7,Results!$A$2:$A$482,Y$4,Results!$H$2:$H$482,"DNF")&gt;0,"DNF","•")))</f>
        <v/>
      </c>
      <c r="Z7" s="20" t="n">
        <f aca="false">IF(COUNTIFS(Results!$F$2:$F$482,$A7,Results!$A$2:$A$482,Z$4)=0,"",IF(COUNTIFS(Results!$F$2:$F$482,$A7,Results!$A$2:$A$482,Z$4,Results!$G$2:$G$482,"&gt;0")&gt;0,_xlfn.MINIFS(Results!$G$2:$G$482,Results!$F$2:$F$482,$A7,Results!$A$2:$A$482,Z$4,Results!$G$2:$G$482,"&gt;0"),IF(COUNTIFS(Results!$F$2:$F$482,$A7,Results!$A$2:$A$482,Z$4,Results!$H$2:$H$482,"DNF")&gt;0,"DNF","•")))</f>
        <v>7</v>
      </c>
      <c r="AA7" s="20" t="str">
        <f aca="false">IF(COUNTIFS(Results!$F$2:$F$482,$A7,Results!$A$2:$A$482,AA$4)=0,"",IF(COUNTIFS(Results!$F$2:$F$482,$A7,Results!$A$2:$A$482,AA$4,Results!$G$2:$G$482,"&gt;0")&gt;0,_xlfn.MINIFS(Results!$G$2:$G$482,Results!$F$2:$F$482,$A7,Results!$A$2:$A$482,AA$4,Results!$G$2:$G$482,"&gt;0"),IF(COUNTIFS(Results!$F$2:$F$482,$A7,Results!$A$2:$A$482,AA$4,Results!$H$2:$H$482,"DNF")&gt;0,"DNF","•")))</f>
        <v/>
      </c>
      <c r="AB7" s="20" t="str">
        <f aca="false">IF(COUNTIFS(Results!$F$2:$F$482,$A7,Results!$A$2:$A$482,AB$4)=0,"",IF(COUNTIFS(Results!$F$2:$F$482,$A7,Results!$A$2:$A$482,AB$4,Results!$G$2:$G$482,"&gt;0")&gt;0,_xlfn.MINIFS(Results!$G$2:$G$482,Results!$F$2:$F$482,$A7,Results!$A$2:$A$482,AB$4,Results!$G$2:$G$482,"&gt;0"),IF(COUNTIFS(Results!$F$2:$F$482,$A7,Results!$A$2:$A$482,AB$4,Results!$H$2:$H$482,"DNF")&gt;0,"DNF","•")))</f>
        <v/>
      </c>
      <c r="AC7" s="20" t="str">
        <f aca="false">IF(COUNTIFS(Results!$F$2:$F$482,$A7,Results!$A$2:$A$482,AC$4)=0,"",IF(COUNTIFS(Results!$F$2:$F$482,$A7,Results!$A$2:$A$482,AC$4,Results!$G$2:$G$482,"&gt;0")&gt;0,_xlfn.MINIFS(Results!$G$2:$G$482,Results!$F$2:$F$482,$A7,Results!$A$2:$A$482,AC$4,Results!$G$2:$G$482,"&gt;0"),IF(COUNTIFS(Results!$F$2:$F$482,$A7,Results!$A$2:$A$482,AC$4,Results!$H$2:$H$482,"DNF")&gt;0,"DNF","•")))</f>
        <v/>
      </c>
      <c r="AD7" s="20" t="str">
        <f aca="false">IF(COUNTIFS(Results!$F$2:$F$482,$A7,Results!$A$2:$A$482,AD$4)=0,"",IF(COUNTIFS(Results!$F$2:$F$482,$A7,Results!$A$2:$A$482,AD$4,Results!$G$2:$G$482,"&gt;0")&gt;0,_xlfn.MINIFS(Results!$G$2:$G$482,Results!$F$2:$F$482,$A7,Results!$A$2:$A$482,AD$4,Results!$G$2:$G$482,"&gt;0"),IF(COUNTIFS(Results!$F$2:$F$482,$A7,Results!$A$2:$A$482,AD$4,Results!$H$2:$H$482,"DNF")&gt;0,"DNF","•")))</f>
        <v/>
      </c>
      <c r="AE7" s="20" t="str">
        <f aca="false">IF(COUNTIFS(Results!$F$2:$F$482,$A7,Results!$A$2:$A$482,AE$4)=0,"",IF(COUNTIFS(Results!$F$2:$F$482,$A7,Results!$A$2:$A$482,AE$4,Results!$G$2:$G$482,"&gt;0")&gt;0,_xlfn.MINIFS(Results!$G$2:$G$482,Results!$F$2:$F$482,$A7,Results!$A$2:$A$482,AE$4,Results!$G$2:$G$482,"&gt;0"),IF(COUNTIFS(Results!$F$2:$F$482,$A7,Results!$A$2:$A$482,AE$4,Results!$H$2:$H$482,"DNF")&gt;0,"DNF","•")))</f>
        <v/>
      </c>
      <c r="AF7" s="20" t="n">
        <f aca="false">IF(COUNTIFS(Results!$F$2:$F$482,$A7,Results!$A$2:$A$482,AF$4)=0,"",IF(COUNTIFS(Results!$F$2:$F$482,$A7,Results!$A$2:$A$482,AF$4,Results!$G$2:$G$482,"&gt;0")&gt;0,_xlfn.MINIFS(Results!$G$2:$G$482,Results!$F$2:$F$482,$A7,Results!$A$2:$A$482,AF$4,Results!$G$2:$G$482,"&gt;0"),IF(COUNTIFS(Results!$F$2:$F$482,$A7,Results!$A$2:$A$482,AF$4,Results!$H$2:$H$482,"DNF")&gt;0,"DNF","•")))</f>
        <v>18</v>
      </c>
      <c r="AG7" s="20" t="str">
        <f aca="false">IF(COUNTIFS(Results!$F$2:$F$482,$A7,Results!$A$2:$A$482,AG$4)=0,"",IF(COUNTIFS(Results!$F$2:$F$482,$A7,Results!$A$2:$A$482,AG$4,Results!$G$2:$G$482,"&gt;0")&gt;0,_xlfn.MINIFS(Results!$G$2:$G$482,Results!$F$2:$F$482,$A7,Results!$A$2:$A$482,AG$4,Results!$G$2:$G$482,"&gt;0"),IF(COUNTIFS(Results!$F$2:$F$482,$A7,Results!$A$2:$A$482,AG$4,Results!$H$2:$H$482,"DNF")&gt;0,"DNF","•")))</f>
        <v/>
      </c>
      <c r="AH7" s="20" t="str">
        <f aca="false">IF(COUNTIFS(Results!$F$2:$F$482,$A7,Results!$A$2:$A$482,AH$4)=0,"",IF(COUNTIFS(Results!$F$2:$F$482,$A7,Results!$A$2:$A$482,AH$4,Results!$G$2:$G$482,"&gt;0")&gt;0,_xlfn.MINIFS(Results!$G$2:$G$482,Results!$F$2:$F$482,$A7,Results!$A$2:$A$482,AH$4,Results!$G$2:$G$482,"&gt;0"),IF(COUNTIFS(Results!$F$2:$F$482,$A7,Results!$A$2:$A$482,AH$4,Results!$H$2:$H$482,"DNF")&gt;0,"DNF","•")))</f>
        <v/>
      </c>
      <c r="AI7" s="20" t="n">
        <f aca="false">IF(COUNTIFS(Results!$F$2:$F$482,$A7,Results!$A$2:$A$482,AI$4)=0,"",IF(COUNTIFS(Results!$F$2:$F$482,$A7,Results!$A$2:$A$482,AI$4,Results!$G$2:$G$482,"&gt;0")&gt;0,_xlfn.MINIFS(Results!$G$2:$G$482,Results!$F$2:$F$482,$A7,Results!$A$2:$A$482,AI$4,Results!$G$2:$G$482,"&gt;0"),IF(COUNTIFS(Results!$F$2:$F$482,$A7,Results!$A$2:$A$482,AI$4,Results!$H$2:$H$482,"DNF")&gt;0,"DNF","•")))</f>
        <v>29</v>
      </c>
      <c r="AJ7" s="20" t="n">
        <f aca="false">IF(COUNTIFS(Results!$F$2:$F$482,$A7,Results!$A$2:$A$482,AJ$4)=0,"",IF(COUNTIFS(Results!$F$2:$F$482,$A7,Results!$A$2:$A$482,AJ$4,Results!$G$2:$G$482,"&gt;0")&gt;0,_xlfn.MINIFS(Results!$G$2:$G$482,Results!$F$2:$F$482,$A7,Results!$A$2:$A$482,AJ$4,Results!$G$2:$G$482,"&gt;0"),IF(COUNTIFS(Results!$F$2:$F$482,$A7,Results!$A$2:$A$482,AJ$4,Results!$H$2:$H$482,"DNF")&gt;0,"DNF","•")))</f>
        <v>8</v>
      </c>
      <c r="AK7" s="20" t="str">
        <f aca="false">IF(COUNTIFS(Results!$F$2:$F$482,$A7,Results!$A$2:$A$482,AK$4)=0,"",IF(COUNTIFS(Results!$F$2:$F$482,$A7,Results!$A$2:$A$482,AK$4,Results!$G$2:$G$482,"&gt;0")&gt;0,_xlfn.MINIFS(Results!$G$2:$G$482,Results!$F$2:$F$482,$A7,Results!$A$2:$A$482,AK$4,Results!$G$2:$G$482,"&gt;0"),IF(COUNTIFS(Results!$F$2:$F$482,$A7,Results!$A$2:$A$482,AK$4,Results!$H$2:$H$482,"DNF")&gt;0,"DNF","•")))</f>
        <v/>
      </c>
      <c r="AL7" s="20" t="str">
        <f aca="false">IF(COUNTIFS(Results!$F$2:$F$482,$A7,Results!$A$2:$A$482,AL$4)=0,"",IF(COUNTIFS(Results!$F$2:$F$482,$A7,Results!$A$2:$A$482,AL$4,Results!$G$2:$G$482,"&gt;0")&gt;0,_xlfn.MINIFS(Results!$G$2:$G$482,Results!$F$2:$F$482,$A7,Results!$A$2:$A$482,AL$4,Results!$G$2:$G$482,"&gt;0"),IF(COUNTIFS(Results!$F$2:$F$482,$A7,Results!$A$2:$A$482,AL$4,Results!$H$2:$H$482,"DNF")&gt;0,"DNF","•")))</f>
        <v/>
      </c>
      <c r="AM7" s="20" t="str">
        <f aca="false">IF(COUNTIFS(Results!$F$2:$F$482,$A7,Results!$A$2:$A$482,AM$4)=0,"",IF(COUNTIFS(Results!$F$2:$F$482,$A7,Results!$A$2:$A$482,AM$4,Results!$G$2:$G$482,"&gt;0")&gt;0,_xlfn.MINIFS(Results!$G$2:$G$482,Results!$F$2:$F$482,$A7,Results!$A$2:$A$482,AM$4,Results!$G$2:$G$482,"&gt;0"),IF(COUNTIFS(Results!$F$2:$F$482,$A7,Results!$A$2:$A$482,AM$4,Results!$H$2:$H$482,"DNF")&gt;0,"DNF","•")))</f>
        <v/>
      </c>
      <c r="AN7" s="20" t="n">
        <f aca="false">IF(COUNTIFS(Results!$F$2:$F$482,$A7,Results!$A$2:$A$482,AN$4)=0,"",IF(COUNTIFS(Results!$F$2:$F$482,$A7,Results!$A$2:$A$482,AN$4,Results!$G$2:$G$482,"&gt;0")&gt;0,_xlfn.MINIFS(Results!$G$2:$G$482,Results!$F$2:$F$482,$A7,Results!$A$2:$A$482,AN$4,Results!$G$2:$G$482,"&gt;0"),IF(COUNTIFS(Results!$F$2:$F$482,$A7,Results!$A$2:$A$482,AN$4,Results!$H$2:$H$482,"DNF")&gt;0,"DNF","•")))</f>
        <v>30</v>
      </c>
      <c r="AO7" s="20" t="str">
        <f aca="false">IF(COUNTIFS(Results!$F$2:$F$482,$A7,Results!$A$2:$A$482,AO$4)=0,"",IF(COUNTIFS(Results!$F$2:$F$482,$A7,Results!$A$2:$A$482,AO$4,Results!$G$2:$G$482,"&gt;0")&gt;0,_xlfn.MINIFS(Results!$G$2:$G$482,Results!$F$2:$F$482,$A7,Results!$A$2:$A$482,AO$4,Results!$G$2:$G$482,"&gt;0"),IF(COUNTIFS(Results!$F$2:$F$482,$A7,Results!$A$2:$A$482,AO$4,Results!$H$2:$H$482,"DNF")&gt;0,"DNF","•")))</f>
        <v/>
      </c>
      <c r="AP7" s="20" t="str">
        <f aca="false">IF(COUNTIFS(Results!$F$2:$F$482,$A7,Results!$A$2:$A$482,AP$4)=0,"",IF(COUNTIFS(Results!$F$2:$F$482,$A7,Results!$A$2:$A$482,AP$4,Results!$G$2:$G$482,"&gt;0")&gt;0,_xlfn.MINIFS(Results!$G$2:$G$482,Results!$F$2:$F$482,$A7,Results!$A$2:$A$482,AP$4,Results!$G$2:$G$482,"&gt;0"),IF(COUNTIFS(Results!$F$2:$F$482,$A7,Results!$A$2:$A$482,AP$4,Results!$H$2:$H$482,"DNF")&gt;0,"DNF","•")))</f>
        <v/>
      </c>
      <c r="AQ7" s="20" t="n">
        <f aca="false">IF(COUNTIFS(Results!$F$2:$F$482,$A7,Results!$A$2:$A$482,AQ$4)=0,"",IF(COUNTIFS(Results!$F$2:$F$482,$A7,Results!$A$2:$A$482,AQ$4,Results!$G$2:$G$482,"&gt;0")&gt;0,_xlfn.MINIFS(Results!$G$2:$G$482,Results!$F$2:$F$482,$A7,Results!$A$2:$A$482,AQ$4,Results!$G$2:$G$482,"&gt;0"),IF(COUNTIFS(Results!$F$2:$F$482,$A7,Results!$A$2:$A$482,AQ$4,Results!$H$2:$H$482,"DNF")&gt;0,"DNF","•")))</f>
        <v>5</v>
      </c>
      <c r="AR7" s="20" t="str">
        <f aca="false">IF(COUNTIFS(Results!$F$2:$F$482,$A7,Results!$A$2:$A$482,AR$4)=0,"",IF(COUNTIFS(Results!$F$2:$F$482,$A7,Results!$A$2:$A$482,AR$4,Results!$G$2:$G$482,"&gt;0")&gt;0,_xlfn.MINIFS(Results!$G$2:$G$482,Results!$F$2:$F$482,$A7,Results!$A$2:$A$482,AR$4,Results!$G$2:$G$482,"&gt;0"),IF(COUNTIFS(Results!$F$2:$F$482,$A7,Results!$A$2:$A$482,AR$4,Results!$H$2:$H$482,"DNF")&gt;0,"DNF","•")))</f>
        <v/>
      </c>
      <c r="AS7" s="20" t="str">
        <f aca="false">IF(COUNTIFS(Results!$F$2:$F$482,$A7,Results!$A$2:$A$482,AS$4)=0,"",IF(COUNTIFS(Results!$F$2:$F$482,$A7,Results!$A$2:$A$482,AS$4,Results!$G$2:$G$482,"&gt;0")&gt;0,_xlfn.MINIFS(Results!$G$2:$G$482,Results!$F$2:$F$482,$A7,Results!$A$2:$A$482,AS$4,Results!$G$2:$G$482,"&gt;0"),IF(COUNTIFS(Results!$F$2:$F$482,$A7,Results!$A$2:$A$482,AS$4,Results!$H$2:$H$482,"DNF")&gt;0,"DNF","•")))</f>
        <v/>
      </c>
      <c r="AT7" s="20" t="str">
        <f aca="false">IF(COUNTIFS(Results!$F$2:$F$482,$A7,Results!$A$2:$A$482,AT$4)=0,"",IF(COUNTIFS(Results!$F$2:$F$482,$A7,Results!$A$2:$A$482,AT$4,Results!$G$2:$G$482,"&gt;0")&gt;0,_xlfn.MINIFS(Results!$G$2:$G$482,Results!$F$2:$F$482,$A7,Results!$A$2:$A$482,AT$4,Results!$G$2:$G$482,"&gt;0"),IF(COUNTIFS(Results!$F$2:$F$482,$A7,Results!$A$2:$A$482,AT$4,Results!$H$2:$H$482,"DNF")&gt;0,"DNF","•")))</f>
        <v/>
      </c>
      <c r="AU7" s="20" t="n">
        <f aca="false">IF(COUNTIFS(Results!$F$2:$F$482,$A7,Results!$A$2:$A$482,AU$4)=0,"",IF(COUNTIFS(Results!$F$2:$F$482,$A7,Results!$A$2:$A$482,AU$4,Results!$G$2:$G$482,"&gt;0")&gt;0,_xlfn.MINIFS(Results!$G$2:$G$482,Results!$F$2:$F$482,$A7,Results!$A$2:$A$482,AU$4,Results!$G$2:$G$482,"&gt;0"),IF(COUNTIFS(Results!$F$2:$F$482,$A7,Results!$A$2:$A$482,AU$4,Results!$H$2:$H$482,"DNF")&gt;0,"DNF","•")))</f>
        <v>1</v>
      </c>
      <c r="AV7" s="20" t="str">
        <f aca="false">IF(COUNTIFS(Results!$F$2:$F$482,$A7,Results!$A$2:$A$482,AV$4)=0,"",IF(COUNTIFS(Results!$F$2:$F$482,$A7,Results!$A$2:$A$482,AV$4,Results!$G$2:$G$482,"&gt;0")&gt;0,_xlfn.MINIFS(Results!$G$2:$G$482,Results!$F$2:$F$482,$A7,Results!$A$2:$A$482,AV$4,Results!$G$2:$G$482,"&gt;0"),IF(COUNTIFS(Results!$F$2:$F$482,$A7,Results!$A$2:$A$482,AV$4,Results!$H$2:$H$482,"DNF")&gt;0,"DNF","•")))</f>
        <v/>
      </c>
      <c r="AW7" s="20" t="str">
        <f aca="false">IF(COUNTIFS(Results!$F$2:$F$482,$A7,Results!$A$2:$A$482,AW$4)=0,"",IF(COUNTIFS(Results!$F$2:$F$482,$A7,Results!$A$2:$A$482,AW$4,Results!$G$2:$G$482,"&gt;0")&gt;0,_xlfn.MINIFS(Results!$G$2:$G$482,Results!$F$2:$F$482,$A7,Results!$A$2:$A$482,AW$4,Results!$G$2:$G$482,"&gt;0"),IF(COUNTIFS(Results!$F$2:$F$482,$A7,Results!$A$2:$A$482,AW$4,Results!$H$2:$H$482,"DNF")&gt;0,"DNF","•")))</f>
        <v/>
      </c>
      <c r="AX7" s="20" t="str">
        <f aca="false">IF(COUNTIFS(Results!$F$2:$F$482,$A7,Results!$A$2:$A$482,AX$4)=0,"",IF(COUNTIFS(Results!$F$2:$F$482,$A7,Results!$A$2:$A$482,AX$4,Results!$G$2:$G$482,"&gt;0")&gt;0,_xlfn.MINIFS(Results!$G$2:$G$482,Results!$F$2:$F$482,$A7,Results!$A$2:$A$482,AX$4,Results!$G$2:$G$482,"&gt;0"),IF(COUNTIFS(Results!$F$2:$F$482,$A7,Results!$A$2:$A$482,AX$4,Results!$H$2:$H$482,"DNF")&gt;0,"DNF","•")))</f>
        <v/>
      </c>
      <c r="AY7" s="20" t="n">
        <f aca="false">IF(COUNTIFS(Results!$F$2:$F$482,$A7,Results!$A$2:$A$482,AY$4)=0,"",IF(COUNTIFS(Results!$F$2:$F$482,$A7,Results!$A$2:$A$482,AY$4,Results!$G$2:$G$482,"&gt;0")&gt;0,_xlfn.MINIFS(Results!$G$2:$G$482,Results!$F$2:$F$482,$A7,Results!$A$2:$A$482,AY$4,Results!$G$2:$G$482,"&gt;0"),IF(COUNTIFS(Results!$F$2:$F$482,$A7,Results!$A$2:$A$482,AY$4,Results!$H$2:$H$482,"DNF")&gt;0,"DNF","•")))</f>
        <v>14</v>
      </c>
      <c r="AZ7" s="20" t="n">
        <f aca="false">IF(COUNTIFS(Results!$F$2:$F$482,$A7,Results!$A$2:$A$482,AZ$4)=0,"",IF(COUNTIFS(Results!$F$2:$F$482,$A7,Results!$A$2:$A$482,AZ$4,Results!$G$2:$G$482,"&gt;0")&gt;0,_xlfn.MINIFS(Results!$G$2:$G$482,Results!$F$2:$F$482,$A7,Results!$A$2:$A$482,AZ$4,Results!$G$2:$G$482,"&gt;0"),IF(COUNTIFS(Results!$F$2:$F$482,$A7,Results!$A$2:$A$482,AZ$4,Results!$H$2:$H$482,"DNF")&gt;0,"DNF","•")))</f>
        <v>9</v>
      </c>
      <c r="BA7" s="20" t="str">
        <f aca="false">IF(COUNTIFS(Results!$F$2:$F$482,$A7,Results!$A$2:$A$482,BA$4)=0,"",IF(COUNTIFS(Results!$F$2:$F$482,$A7,Results!$A$2:$A$482,BA$4,Results!$G$2:$G$482,"&gt;0")&gt;0,_xlfn.MINIFS(Results!$G$2:$G$482,Results!$F$2:$F$482,$A7,Results!$A$2:$A$482,BA$4,Results!$G$2:$G$482,"&gt;0"),IF(COUNTIFS(Results!$F$2:$F$482,$A7,Results!$A$2:$A$482,BA$4,Results!$H$2:$H$482,"DNF")&gt;0,"DNF","•")))</f>
        <v/>
      </c>
      <c r="BB7" s="20" t="str">
        <f aca="false">IF(COUNTIFS(Results!$F$2:$F$482,$A7,Results!$A$2:$A$482,BB$4)=0,"",IF(COUNTIFS(Results!$F$2:$F$482,$A7,Results!$A$2:$A$482,BB$4,Results!$G$2:$G$482,"&gt;0")&gt;0,_xlfn.MINIFS(Results!$G$2:$G$482,Results!$F$2:$F$482,$A7,Results!$A$2:$A$482,BB$4,Results!$G$2:$G$482,"&gt;0"),IF(COUNTIFS(Results!$F$2:$F$482,$A7,Results!$A$2:$A$482,BB$4,Results!$H$2:$H$482,"DNF")&gt;0,"DNF","•")))</f>
        <v/>
      </c>
      <c r="BC7" s="20" t="str">
        <f aca="false">IF(COUNTIFS(Results!$F$2:$F$482,$A7,Results!$A$2:$A$482,BC$4)=0,"",IF(COUNTIFS(Results!$F$2:$F$482,$A7,Results!$A$2:$A$482,BC$4,Results!$G$2:$G$482,"&gt;0")&gt;0,_xlfn.MINIFS(Results!$G$2:$G$482,Results!$F$2:$F$482,$A7,Results!$A$2:$A$482,BC$4,Results!$G$2:$G$482,"&gt;0"),IF(COUNTIFS(Results!$F$2:$F$482,$A7,Results!$A$2:$A$482,BC$4,Results!$H$2:$H$482,"DNF")&gt;0,"DNF","•")))</f>
        <v/>
      </c>
      <c r="BD7" s="20" t="str">
        <f aca="false">IF(COUNTIFS(Results!$F$2:$F$482,$A7,Results!$A$2:$A$482,BD$4)=0,"",IF(COUNTIFS(Results!$F$2:$F$482,$A7,Results!$A$2:$A$482,BD$4,Results!$G$2:$G$482,"&gt;0")&gt;0,_xlfn.MINIFS(Results!$G$2:$G$482,Results!$F$2:$F$482,$A7,Results!$A$2:$A$482,BD$4,Results!$G$2:$G$482,"&gt;0"),IF(COUNTIFS(Results!$F$2:$F$482,$A7,Results!$A$2:$A$482,BD$4,Results!$H$2:$H$482,"DNF")&gt;0,"DNF","•")))</f>
        <v/>
      </c>
      <c r="BE7" s="20" t="str">
        <f aca="false">IF(COUNTIFS(Results!$F$2:$F$482,$A7,Results!$A$2:$A$482,BE$4)=0,"",IF(COUNTIFS(Results!$F$2:$F$482,$A7,Results!$A$2:$A$482,BE$4,Results!$G$2:$G$482,"&gt;0")&gt;0,_xlfn.MINIFS(Results!$G$2:$G$482,Results!$F$2:$F$482,$A7,Results!$A$2:$A$482,BE$4,Results!$G$2:$G$482,"&gt;0"),IF(COUNTIFS(Results!$F$2:$F$482,$A7,Results!$A$2:$A$482,BE$4,Results!$H$2:$H$482,"DNF")&gt;0,"DNF","•")))</f>
        <v/>
      </c>
      <c r="BF7" s="20" t="str">
        <f aca="false">IF(COUNTIFS(Results!$F$2:$F$482,$A7,Results!$A$2:$A$482,BF$4)=0,"",IF(COUNTIFS(Results!$F$2:$F$482,$A7,Results!$A$2:$A$482,BF$4,Results!$G$2:$G$482,"&gt;0")&gt;0,_xlfn.MINIFS(Results!$G$2:$G$482,Results!$F$2:$F$482,$A7,Results!$A$2:$A$482,BF$4,Results!$G$2:$G$482,"&gt;0"),IF(COUNTIFS(Results!$F$2:$F$482,$A7,Results!$A$2:$A$482,BF$4,Results!$H$2:$H$482,"DNF")&gt;0,"DNF","•")))</f>
        <v/>
      </c>
      <c r="BG7" s="20" t="str">
        <f aca="false">IF(COUNTIFS(Results!$F$2:$F$482,$A7,Results!$A$2:$A$482,BG$4)=0,"",IF(COUNTIFS(Results!$F$2:$F$482,$A7,Results!$A$2:$A$482,BG$4,Results!$G$2:$G$482,"&gt;0")&gt;0,_xlfn.MINIFS(Results!$G$2:$G$482,Results!$F$2:$F$482,$A7,Results!$A$2:$A$482,BG$4,Results!$G$2:$G$482,"&gt;0"),IF(COUNTIFS(Results!$F$2:$F$482,$A7,Results!$A$2:$A$482,BG$4,Results!$H$2:$H$482,"DNF")&gt;0,"DNF","•")))</f>
        <v/>
      </c>
      <c r="BH7" s="20" t="str">
        <f aca="false">IF(COUNTIFS(Results!$F$2:$F$482,$A7,Results!$A$2:$A$482,BH$4)=0,"",IF(COUNTIFS(Results!$F$2:$F$482,$A7,Results!$A$2:$A$482,BH$4,Results!$G$2:$G$482,"&gt;0")&gt;0,_xlfn.MINIFS(Results!$G$2:$G$482,Results!$F$2:$F$482,$A7,Results!$A$2:$A$482,BH$4,Results!$G$2:$G$482,"&gt;0"),IF(COUNTIFS(Results!$F$2:$F$482,$A7,Results!$A$2:$A$482,BH$4,Results!$H$2:$H$482,"DNF")&gt;0,"DNF","•")))</f>
        <v/>
      </c>
      <c r="BI7" s="20" t="str">
        <f aca="false">IF(COUNTIFS(Results!$F$2:$F$482,$A7,Results!$A$2:$A$482,BI$4)=0,"",IF(COUNTIFS(Results!$F$2:$F$482,$A7,Results!$A$2:$A$482,BI$4,Results!$G$2:$G$482,"&gt;0")&gt;0,_xlfn.MINIFS(Results!$G$2:$G$482,Results!$F$2:$F$482,$A7,Results!$A$2:$A$482,BI$4,Results!$G$2:$G$482,"&gt;0"),IF(COUNTIFS(Results!$F$2:$F$482,$A7,Results!$A$2:$A$482,BI$4,Results!$H$2:$H$482,"DNF")&gt;0,"DNF","•")))</f>
        <v/>
      </c>
      <c r="BJ7" s="20" t="str">
        <f aca="false">IF(COUNTIFS(Results!$F$2:$F$482,$A7,Results!$A$2:$A$482,BJ$4)=0,"",IF(COUNTIFS(Results!$F$2:$F$482,$A7,Results!$A$2:$A$482,BJ$4,Results!$G$2:$G$482,"&gt;0")&gt;0,_xlfn.MINIFS(Results!$G$2:$G$482,Results!$F$2:$F$482,$A7,Results!$A$2:$A$482,BJ$4,Results!$G$2:$G$482,"&gt;0"),IF(COUNTIFS(Results!$F$2:$F$482,$A7,Results!$A$2:$A$482,BJ$4,Results!$H$2:$H$482,"DNF")&gt;0,"DNF","•")))</f>
        <v/>
      </c>
      <c r="BK7" s="20" t="str">
        <f aca="false">IF(COUNTIFS(Results!$F$2:$F$482,$A7,Results!$A$2:$A$482,BK$4)=0,"",IF(COUNTIFS(Results!$F$2:$F$482,$A7,Results!$A$2:$A$482,BK$4,Results!$G$2:$G$482,"&gt;0")&gt;0,_xlfn.MINIFS(Results!$G$2:$G$482,Results!$F$2:$F$482,$A7,Results!$A$2:$A$482,BK$4,Results!$G$2:$G$482,"&gt;0"),IF(COUNTIFS(Results!$F$2:$F$482,$A7,Results!$A$2:$A$482,BK$4,Results!$H$2:$H$482,"DNF")&gt;0,"DNF","•")))</f>
        <v/>
      </c>
      <c r="BL7" s="20" t="str">
        <f aca="false">IF(COUNTIFS(Results!$F$2:$F$482,$A7,Results!$A$2:$A$482,BL$4)=0,"",IF(COUNTIFS(Results!$F$2:$F$482,$A7,Results!$A$2:$A$482,BL$4,Results!$G$2:$G$482,"&gt;0")&gt;0,_xlfn.MINIFS(Results!$G$2:$G$482,Results!$F$2:$F$482,$A7,Results!$A$2:$A$482,BL$4,Results!$G$2:$G$482,"&gt;0"),IF(COUNTIFS(Results!$F$2:$F$482,$A7,Results!$A$2:$A$482,BL$4,Results!$H$2:$H$482,"DNF")&gt;0,"DNF","•")))</f>
        <v/>
      </c>
    </row>
    <row r="8" customFormat="false" ht="15" hidden="false" customHeight="false" outlineLevel="0" collapsed="false">
      <c r="A8" s="7" t="str">
        <f aca="false">Riders!A6</f>
        <v>Tamara Szalińska</v>
      </c>
      <c r="B8" s="20" t="str">
        <f aca="false">IF(COUNTIFS(Results!$F$2:$F$482,$A8,Results!$A$2:$A$482,B$4)=0,"",IF(COUNTIFS(Results!$F$2:$F$482,$A8,Results!$A$2:$A$482,B$4,Results!$G$2:$G$482,"&gt;0")&gt;0,_xlfn.MINIFS(Results!$G$2:$G$482,Results!$F$2:$F$482,$A8,Results!$A$2:$A$482,B$4,Results!$G$2:$G$482,"&gt;0"),IF(COUNTIFS(Results!$F$2:$F$482,$A8,Results!$A$2:$A$482,B$4,Results!$H$2:$H$482,"DNF")&gt;0,"DNF","•")))</f>
        <v/>
      </c>
      <c r="C8" s="20" t="str">
        <f aca="false">IF(COUNTIFS(Results!$F$2:$F$482,$A8,Results!$A$2:$A$482,C$4)=0,"",IF(COUNTIFS(Results!$F$2:$F$482,$A8,Results!$A$2:$A$482,C$4,Results!$G$2:$G$482,"&gt;0")&gt;0,_xlfn.MINIFS(Results!$G$2:$G$482,Results!$F$2:$F$482,$A8,Results!$A$2:$A$482,C$4,Results!$G$2:$G$482,"&gt;0"),IF(COUNTIFS(Results!$F$2:$F$482,$A8,Results!$A$2:$A$482,C$4,Results!$H$2:$H$482,"DNF")&gt;0,"DNF","•")))</f>
        <v/>
      </c>
      <c r="D8" s="20" t="n">
        <f aca="false">IF(COUNTIFS(Results!$F$2:$F$482,$A8,Results!$A$2:$A$482,D$4)=0,"",IF(COUNTIFS(Results!$F$2:$F$482,$A8,Results!$A$2:$A$482,D$4,Results!$G$2:$G$482,"&gt;0")&gt;0,_xlfn.MINIFS(Results!$G$2:$G$482,Results!$F$2:$F$482,$A8,Results!$A$2:$A$482,D$4,Results!$G$2:$G$482,"&gt;0"),IF(COUNTIFS(Results!$F$2:$F$482,$A8,Results!$A$2:$A$482,D$4,Results!$H$2:$H$482,"DNF")&gt;0,"DNF","•")))</f>
        <v>9</v>
      </c>
      <c r="E8" s="20" t="str">
        <f aca="false">IF(COUNTIFS(Results!$F$2:$F$482,$A8,Results!$A$2:$A$482,E$4)=0,"",IF(COUNTIFS(Results!$F$2:$F$482,$A8,Results!$A$2:$A$482,E$4,Results!$G$2:$G$482,"&gt;0")&gt;0,_xlfn.MINIFS(Results!$G$2:$G$482,Results!$F$2:$F$482,$A8,Results!$A$2:$A$482,E$4,Results!$G$2:$G$482,"&gt;0"),IF(COUNTIFS(Results!$F$2:$F$482,$A8,Results!$A$2:$A$482,E$4,Results!$H$2:$H$482,"DNF")&gt;0,"DNF","•")))</f>
        <v/>
      </c>
      <c r="F8" s="20" t="n">
        <f aca="false">IF(COUNTIFS(Results!$F$2:$F$482,$A8,Results!$A$2:$A$482,F$4)=0,"",IF(COUNTIFS(Results!$F$2:$F$482,$A8,Results!$A$2:$A$482,F$4,Results!$G$2:$G$482,"&gt;0")&gt;0,_xlfn.MINIFS(Results!$G$2:$G$482,Results!$F$2:$F$482,$A8,Results!$A$2:$A$482,F$4,Results!$G$2:$G$482,"&gt;0"),IF(COUNTIFS(Results!$F$2:$F$482,$A8,Results!$A$2:$A$482,F$4,Results!$H$2:$H$482,"DNF")&gt;0,"DNF","•")))</f>
        <v>67</v>
      </c>
      <c r="G8" s="20" t="str">
        <f aca="false">IF(COUNTIFS(Results!$F$2:$F$482,$A8,Results!$A$2:$A$482,G$4)=0,"",IF(COUNTIFS(Results!$F$2:$F$482,$A8,Results!$A$2:$A$482,G$4,Results!$G$2:$G$482,"&gt;0")&gt;0,_xlfn.MINIFS(Results!$G$2:$G$482,Results!$F$2:$F$482,$A8,Results!$A$2:$A$482,G$4,Results!$G$2:$G$482,"&gt;0"),IF(COUNTIFS(Results!$F$2:$F$482,$A8,Results!$A$2:$A$482,G$4,Results!$H$2:$H$482,"DNF")&gt;0,"DNF","•")))</f>
        <v/>
      </c>
      <c r="H8" s="20" t="str">
        <f aca="false">IF(COUNTIFS(Results!$F$2:$F$482,$A8,Results!$A$2:$A$482,H$4)=0,"",IF(COUNTIFS(Results!$F$2:$F$482,$A8,Results!$A$2:$A$482,H$4,Results!$G$2:$G$482,"&gt;0")&gt;0,_xlfn.MINIFS(Results!$G$2:$G$482,Results!$F$2:$F$482,$A8,Results!$A$2:$A$482,H$4,Results!$G$2:$G$482,"&gt;0"),IF(COUNTIFS(Results!$F$2:$F$482,$A8,Results!$A$2:$A$482,H$4,Results!$H$2:$H$482,"DNF")&gt;0,"DNF","•")))</f>
        <v/>
      </c>
      <c r="I8" s="20" t="str">
        <f aca="false">IF(COUNTIFS(Results!$F$2:$F$482,$A8,Results!$A$2:$A$482,I$4)=0,"",IF(COUNTIFS(Results!$F$2:$F$482,$A8,Results!$A$2:$A$482,I$4,Results!$G$2:$G$482,"&gt;0")&gt;0,_xlfn.MINIFS(Results!$G$2:$G$482,Results!$F$2:$F$482,$A8,Results!$A$2:$A$482,I$4,Results!$G$2:$G$482,"&gt;0"),IF(COUNTIFS(Results!$F$2:$F$482,$A8,Results!$A$2:$A$482,I$4,Results!$H$2:$H$482,"DNF")&gt;0,"DNF","•")))</f>
        <v/>
      </c>
      <c r="J8" s="20" t="str">
        <f aca="false">IF(COUNTIFS(Results!$F$2:$F$482,$A8,Results!$A$2:$A$482,J$4)=0,"",IF(COUNTIFS(Results!$F$2:$F$482,$A8,Results!$A$2:$A$482,J$4,Results!$G$2:$G$482,"&gt;0")&gt;0,_xlfn.MINIFS(Results!$G$2:$G$482,Results!$F$2:$F$482,$A8,Results!$A$2:$A$482,J$4,Results!$G$2:$G$482,"&gt;0"),IF(COUNTIFS(Results!$F$2:$F$482,$A8,Results!$A$2:$A$482,J$4,Results!$H$2:$H$482,"DNF")&gt;0,"DNF","•")))</f>
        <v/>
      </c>
      <c r="K8" s="20" t="str">
        <f aca="false">IF(COUNTIFS(Results!$F$2:$F$482,$A8,Results!$A$2:$A$482,K$4)=0,"",IF(COUNTIFS(Results!$F$2:$F$482,$A8,Results!$A$2:$A$482,K$4,Results!$G$2:$G$482,"&gt;0")&gt;0,_xlfn.MINIFS(Results!$G$2:$G$482,Results!$F$2:$F$482,$A8,Results!$A$2:$A$482,K$4,Results!$G$2:$G$482,"&gt;0"),IF(COUNTIFS(Results!$F$2:$F$482,$A8,Results!$A$2:$A$482,K$4,Results!$H$2:$H$482,"DNF")&gt;0,"DNF","•")))</f>
        <v/>
      </c>
      <c r="L8" s="20" t="n">
        <f aca="false">IF(COUNTIFS(Results!$F$2:$F$482,$A8,Results!$A$2:$A$482,L$4)=0,"",IF(COUNTIFS(Results!$F$2:$F$482,$A8,Results!$A$2:$A$482,L$4,Results!$G$2:$G$482,"&gt;0")&gt;0,_xlfn.MINIFS(Results!$G$2:$G$482,Results!$F$2:$F$482,$A8,Results!$A$2:$A$482,L$4,Results!$G$2:$G$482,"&gt;0"),IF(COUNTIFS(Results!$F$2:$F$482,$A8,Results!$A$2:$A$482,L$4,Results!$H$2:$H$482,"DNF")&gt;0,"DNF","•")))</f>
        <v>83</v>
      </c>
      <c r="M8" s="20" t="n">
        <f aca="false">IF(COUNTIFS(Results!$F$2:$F$482,$A8,Results!$A$2:$A$482,M$4)=0,"",IF(COUNTIFS(Results!$F$2:$F$482,$A8,Results!$A$2:$A$482,M$4,Results!$G$2:$G$482,"&gt;0")&gt;0,_xlfn.MINIFS(Results!$G$2:$G$482,Results!$F$2:$F$482,$A8,Results!$A$2:$A$482,M$4,Results!$G$2:$G$482,"&gt;0"),IF(COUNTIFS(Results!$F$2:$F$482,$A8,Results!$A$2:$A$482,M$4,Results!$H$2:$H$482,"DNF")&gt;0,"DNF","•")))</f>
        <v>61</v>
      </c>
      <c r="N8" s="20" t="str">
        <f aca="false">IF(COUNTIFS(Results!$F$2:$F$482,$A8,Results!$A$2:$A$482,N$4)=0,"",IF(COUNTIFS(Results!$F$2:$F$482,$A8,Results!$A$2:$A$482,N$4,Results!$G$2:$G$482,"&gt;0")&gt;0,_xlfn.MINIFS(Results!$G$2:$G$482,Results!$F$2:$F$482,$A8,Results!$A$2:$A$482,N$4,Results!$G$2:$G$482,"&gt;0"),IF(COUNTIFS(Results!$F$2:$F$482,$A8,Results!$A$2:$A$482,N$4,Results!$H$2:$H$482,"DNF")&gt;0,"DNF","•")))</f>
        <v/>
      </c>
      <c r="O8" s="20" t="str">
        <f aca="false">IF(COUNTIFS(Results!$F$2:$F$482,$A8,Results!$A$2:$A$482,O$4)=0,"",IF(COUNTIFS(Results!$F$2:$F$482,$A8,Results!$A$2:$A$482,O$4,Results!$G$2:$G$482,"&gt;0")&gt;0,_xlfn.MINIFS(Results!$G$2:$G$482,Results!$F$2:$F$482,$A8,Results!$A$2:$A$482,O$4,Results!$G$2:$G$482,"&gt;0"),IF(COUNTIFS(Results!$F$2:$F$482,$A8,Results!$A$2:$A$482,O$4,Results!$H$2:$H$482,"DNF")&gt;0,"DNF","•")))</f>
        <v/>
      </c>
      <c r="P8" s="20" t="n">
        <f aca="false">IF(COUNTIFS(Results!$F$2:$F$482,$A8,Results!$A$2:$A$482,P$4)=0,"",IF(COUNTIFS(Results!$F$2:$F$482,$A8,Results!$A$2:$A$482,P$4,Results!$G$2:$G$482,"&gt;0")&gt;0,_xlfn.MINIFS(Results!$G$2:$G$482,Results!$F$2:$F$482,$A8,Results!$A$2:$A$482,P$4,Results!$G$2:$G$482,"&gt;0"),IF(COUNTIFS(Results!$F$2:$F$482,$A8,Results!$A$2:$A$482,P$4,Results!$H$2:$H$482,"DNF")&gt;0,"DNF","•")))</f>
        <v>9</v>
      </c>
      <c r="Q8" s="20" t="str">
        <f aca="false">IF(COUNTIFS(Results!$F$2:$F$482,$A8,Results!$A$2:$A$482,Q$4)=0,"",IF(COUNTIFS(Results!$F$2:$F$482,$A8,Results!$A$2:$A$482,Q$4,Results!$G$2:$G$482,"&gt;0")&gt;0,_xlfn.MINIFS(Results!$G$2:$G$482,Results!$F$2:$F$482,$A8,Results!$A$2:$A$482,Q$4,Results!$G$2:$G$482,"&gt;0"),IF(COUNTIFS(Results!$F$2:$F$482,$A8,Results!$A$2:$A$482,Q$4,Results!$H$2:$H$482,"DNF")&gt;0,"DNF","•")))</f>
        <v/>
      </c>
      <c r="R8" s="20" t="str">
        <f aca="false">IF(COUNTIFS(Results!$F$2:$F$482,$A8,Results!$A$2:$A$482,R$4)=0,"",IF(COUNTIFS(Results!$F$2:$F$482,$A8,Results!$A$2:$A$482,R$4,Results!$G$2:$G$482,"&gt;0")&gt;0,_xlfn.MINIFS(Results!$G$2:$G$482,Results!$F$2:$F$482,$A8,Results!$A$2:$A$482,R$4,Results!$G$2:$G$482,"&gt;0"),IF(COUNTIFS(Results!$F$2:$F$482,$A8,Results!$A$2:$A$482,R$4,Results!$H$2:$H$482,"DNF")&gt;0,"DNF","•")))</f>
        <v/>
      </c>
      <c r="S8" s="20" t="n">
        <f aca="false">IF(COUNTIFS(Results!$F$2:$F$482,$A8,Results!$A$2:$A$482,S$4)=0,"",IF(COUNTIFS(Results!$F$2:$F$482,$A8,Results!$A$2:$A$482,S$4,Results!$G$2:$G$482,"&gt;0")&gt;0,_xlfn.MINIFS(Results!$G$2:$G$482,Results!$F$2:$F$482,$A8,Results!$A$2:$A$482,S$4,Results!$G$2:$G$482,"&gt;0"),IF(COUNTIFS(Results!$F$2:$F$482,$A8,Results!$A$2:$A$482,S$4,Results!$H$2:$H$482,"DNF")&gt;0,"DNF","•")))</f>
        <v>8</v>
      </c>
      <c r="T8" s="20" t="str">
        <f aca="false">IF(COUNTIFS(Results!$F$2:$F$482,$A8,Results!$A$2:$A$482,T$4)=0,"",IF(COUNTIFS(Results!$F$2:$F$482,$A8,Results!$A$2:$A$482,T$4,Results!$G$2:$G$482,"&gt;0")&gt;0,_xlfn.MINIFS(Results!$G$2:$G$482,Results!$F$2:$F$482,$A8,Results!$A$2:$A$482,T$4,Results!$G$2:$G$482,"&gt;0"),IF(COUNTIFS(Results!$F$2:$F$482,$A8,Results!$A$2:$A$482,T$4,Results!$H$2:$H$482,"DNF")&gt;0,"DNF","•")))</f>
        <v/>
      </c>
      <c r="U8" s="20" t="str">
        <f aca="false">IF(COUNTIFS(Results!$F$2:$F$482,$A8,Results!$A$2:$A$482,U$4)=0,"",IF(COUNTIFS(Results!$F$2:$F$482,$A8,Results!$A$2:$A$482,U$4,Results!$G$2:$G$482,"&gt;0")&gt;0,_xlfn.MINIFS(Results!$G$2:$G$482,Results!$F$2:$F$482,$A8,Results!$A$2:$A$482,U$4,Results!$G$2:$G$482,"&gt;0"),IF(COUNTIFS(Results!$F$2:$F$482,$A8,Results!$A$2:$A$482,U$4,Results!$H$2:$H$482,"DNF")&gt;0,"DNF","•")))</f>
        <v/>
      </c>
      <c r="V8" s="20" t="str">
        <f aca="false">IF(COUNTIFS(Results!$F$2:$F$482,$A8,Results!$A$2:$A$482,V$4)=0,"",IF(COUNTIFS(Results!$F$2:$F$482,$A8,Results!$A$2:$A$482,V$4,Results!$G$2:$G$482,"&gt;0")&gt;0,_xlfn.MINIFS(Results!$G$2:$G$482,Results!$F$2:$F$482,$A8,Results!$A$2:$A$482,V$4,Results!$G$2:$G$482,"&gt;0"),IF(COUNTIFS(Results!$F$2:$F$482,$A8,Results!$A$2:$A$482,V$4,Results!$H$2:$H$482,"DNF")&gt;0,"DNF","•")))</f>
        <v/>
      </c>
      <c r="W8" s="20" t="str">
        <f aca="false">IF(COUNTIFS(Results!$F$2:$F$482,$A8,Results!$A$2:$A$482,W$4)=0,"",IF(COUNTIFS(Results!$F$2:$F$482,$A8,Results!$A$2:$A$482,W$4,Results!$G$2:$G$482,"&gt;0")&gt;0,_xlfn.MINIFS(Results!$G$2:$G$482,Results!$F$2:$F$482,$A8,Results!$A$2:$A$482,W$4,Results!$G$2:$G$482,"&gt;0"),IF(COUNTIFS(Results!$F$2:$F$482,$A8,Results!$A$2:$A$482,W$4,Results!$H$2:$H$482,"DNF")&gt;0,"DNF","•")))</f>
        <v/>
      </c>
      <c r="X8" s="20" t="str">
        <f aca="false">IF(COUNTIFS(Results!$F$2:$F$482,$A8,Results!$A$2:$A$482,X$4)=0,"",IF(COUNTIFS(Results!$F$2:$F$482,$A8,Results!$A$2:$A$482,X$4,Results!$G$2:$G$482,"&gt;0")&gt;0,_xlfn.MINIFS(Results!$G$2:$G$482,Results!$F$2:$F$482,$A8,Results!$A$2:$A$482,X$4,Results!$G$2:$G$482,"&gt;0"),IF(COUNTIFS(Results!$F$2:$F$482,$A8,Results!$A$2:$A$482,X$4,Results!$H$2:$H$482,"DNF")&gt;0,"DNF","•")))</f>
        <v/>
      </c>
      <c r="Y8" s="20" t="str">
        <f aca="false">IF(COUNTIFS(Results!$F$2:$F$482,$A8,Results!$A$2:$A$482,Y$4)=0,"",IF(COUNTIFS(Results!$F$2:$F$482,$A8,Results!$A$2:$A$482,Y$4,Results!$G$2:$G$482,"&gt;0")&gt;0,_xlfn.MINIFS(Results!$G$2:$G$482,Results!$F$2:$F$482,$A8,Results!$A$2:$A$482,Y$4,Results!$G$2:$G$482,"&gt;0"),IF(COUNTIFS(Results!$F$2:$F$482,$A8,Results!$A$2:$A$482,Y$4,Results!$H$2:$H$482,"DNF")&gt;0,"DNF","•")))</f>
        <v/>
      </c>
      <c r="Z8" s="20" t="n">
        <f aca="false">IF(COUNTIFS(Results!$F$2:$F$482,$A8,Results!$A$2:$A$482,Z$4)=0,"",IF(COUNTIFS(Results!$F$2:$F$482,$A8,Results!$A$2:$A$482,Z$4,Results!$G$2:$G$482,"&gt;0")&gt;0,_xlfn.MINIFS(Results!$G$2:$G$482,Results!$F$2:$F$482,$A8,Results!$A$2:$A$482,Z$4,Results!$G$2:$G$482,"&gt;0"),IF(COUNTIFS(Results!$F$2:$F$482,$A8,Results!$A$2:$A$482,Z$4,Results!$H$2:$H$482,"DNF")&gt;0,"DNF","•")))</f>
        <v>7</v>
      </c>
      <c r="AA8" s="20" t="str">
        <f aca="false">IF(COUNTIFS(Results!$F$2:$F$482,$A8,Results!$A$2:$A$482,AA$4)=0,"",IF(COUNTIFS(Results!$F$2:$F$482,$A8,Results!$A$2:$A$482,AA$4,Results!$G$2:$G$482,"&gt;0")&gt;0,_xlfn.MINIFS(Results!$G$2:$G$482,Results!$F$2:$F$482,$A8,Results!$A$2:$A$482,AA$4,Results!$G$2:$G$482,"&gt;0"),IF(COUNTIFS(Results!$F$2:$F$482,$A8,Results!$A$2:$A$482,AA$4,Results!$H$2:$H$482,"DNF")&gt;0,"DNF","•")))</f>
        <v/>
      </c>
      <c r="AB8" s="20" t="str">
        <f aca="false">IF(COUNTIFS(Results!$F$2:$F$482,$A8,Results!$A$2:$A$482,AB$4)=0,"",IF(COUNTIFS(Results!$F$2:$F$482,$A8,Results!$A$2:$A$482,AB$4,Results!$G$2:$G$482,"&gt;0")&gt;0,_xlfn.MINIFS(Results!$G$2:$G$482,Results!$F$2:$F$482,$A8,Results!$A$2:$A$482,AB$4,Results!$G$2:$G$482,"&gt;0"),IF(COUNTIFS(Results!$F$2:$F$482,$A8,Results!$A$2:$A$482,AB$4,Results!$H$2:$H$482,"DNF")&gt;0,"DNF","•")))</f>
        <v/>
      </c>
      <c r="AC8" s="20" t="n">
        <f aca="false">IF(COUNTIFS(Results!$F$2:$F$482,$A8,Results!$A$2:$A$482,AC$4)=0,"",IF(COUNTIFS(Results!$F$2:$F$482,$A8,Results!$A$2:$A$482,AC$4,Results!$G$2:$G$482,"&gt;0")&gt;0,_xlfn.MINIFS(Results!$G$2:$G$482,Results!$F$2:$F$482,$A8,Results!$A$2:$A$482,AC$4,Results!$G$2:$G$482,"&gt;0"),IF(COUNTIFS(Results!$F$2:$F$482,$A8,Results!$A$2:$A$482,AC$4,Results!$H$2:$H$482,"DNF")&gt;0,"DNF","•")))</f>
        <v>3</v>
      </c>
      <c r="AD8" s="20" t="str">
        <f aca="false">IF(COUNTIFS(Results!$F$2:$F$482,$A8,Results!$A$2:$A$482,AD$4)=0,"",IF(COUNTIFS(Results!$F$2:$F$482,$A8,Results!$A$2:$A$482,AD$4,Results!$G$2:$G$482,"&gt;0")&gt;0,_xlfn.MINIFS(Results!$G$2:$G$482,Results!$F$2:$F$482,$A8,Results!$A$2:$A$482,AD$4,Results!$G$2:$G$482,"&gt;0"),IF(COUNTIFS(Results!$F$2:$F$482,$A8,Results!$A$2:$A$482,AD$4,Results!$H$2:$H$482,"DNF")&gt;0,"DNF","•")))</f>
        <v/>
      </c>
      <c r="AE8" s="20" t="str">
        <f aca="false">IF(COUNTIFS(Results!$F$2:$F$482,$A8,Results!$A$2:$A$482,AE$4)=0,"",IF(COUNTIFS(Results!$F$2:$F$482,$A8,Results!$A$2:$A$482,AE$4,Results!$G$2:$G$482,"&gt;0")&gt;0,_xlfn.MINIFS(Results!$G$2:$G$482,Results!$F$2:$F$482,$A8,Results!$A$2:$A$482,AE$4,Results!$G$2:$G$482,"&gt;0"),IF(COUNTIFS(Results!$F$2:$F$482,$A8,Results!$A$2:$A$482,AE$4,Results!$H$2:$H$482,"DNF")&gt;0,"DNF","•")))</f>
        <v/>
      </c>
      <c r="AF8" s="20" t="str">
        <f aca="false">IF(COUNTIFS(Results!$F$2:$F$482,$A8,Results!$A$2:$A$482,AF$4)=0,"",IF(COUNTIFS(Results!$F$2:$F$482,$A8,Results!$A$2:$A$482,AF$4,Results!$G$2:$G$482,"&gt;0")&gt;0,_xlfn.MINIFS(Results!$G$2:$G$482,Results!$F$2:$F$482,$A8,Results!$A$2:$A$482,AF$4,Results!$G$2:$G$482,"&gt;0"),IF(COUNTIFS(Results!$F$2:$F$482,$A8,Results!$A$2:$A$482,AF$4,Results!$H$2:$H$482,"DNF")&gt;0,"DNF","•")))</f>
        <v/>
      </c>
      <c r="AG8" s="20" t="str">
        <f aca="false">IF(COUNTIFS(Results!$F$2:$F$482,$A8,Results!$A$2:$A$482,AG$4)=0,"",IF(COUNTIFS(Results!$F$2:$F$482,$A8,Results!$A$2:$A$482,AG$4,Results!$G$2:$G$482,"&gt;0")&gt;0,_xlfn.MINIFS(Results!$G$2:$G$482,Results!$F$2:$F$482,$A8,Results!$A$2:$A$482,AG$4,Results!$G$2:$G$482,"&gt;0"),IF(COUNTIFS(Results!$F$2:$F$482,$A8,Results!$A$2:$A$482,AG$4,Results!$H$2:$H$482,"DNF")&gt;0,"DNF","•")))</f>
        <v/>
      </c>
      <c r="AH8" s="20" t="str">
        <f aca="false">IF(COUNTIFS(Results!$F$2:$F$482,$A8,Results!$A$2:$A$482,AH$4)=0,"",IF(COUNTIFS(Results!$F$2:$F$482,$A8,Results!$A$2:$A$482,AH$4,Results!$G$2:$G$482,"&gt;0")&gt;0,_xlfn.MINIFS(Results!$G$2:$G$482,Results!$F$2:$F$482,$A8,Results!$A$2:$A$482,AH$4,Results!$G$2:$G$482,"&gt;0"),IF(COUNTIFS(Results!$F$2:$F$482,$A8,Results!$A$2:$A$482,AH$4,Results!$H$2:$H$482,"DNF")&gt;0,"DNF","•")))</f>
        <v/>
      </c>
      <c r="AI8" s="20" t="n">
        <f aca="false">IF(COUNTIFS(Results!$F$2:$F$482,$A8,Results!$A$2:$A$482,AI$4)=0,"",IF(COUNTIFS(Results!$F$2:$F$482,$A8,Results!$A$2:$A$482,AI$4,Results!$G$2:$G$482,"&gt;0")&gt;0,_xlfn.MINIFS(Results!$G$2:$G$482,Results!$F$2:$F$482,$A8,Results!$A$2:$A$482,AI$4,Results!$G$2:$G$482,"&gt;0"),IF(COUNTIFS(Results!$F$2:$F$482,$A8,Results!$A$2:$A$482,AI$4,Results!$H$2:$H$482,"DNF")&gt;0,"DNF","•")))</f>
        <v>53</v>
      </c>
      <c r="AJ8" s="20" t="n">
        <f aca="false">IF(COUNTIFS(Results!$F$2:$F$482,$A8,Results!$A$2:$A$482,AJ$4)=0,"",IF(COUNTIFS(Results!$F$2:$F$482,$A8,Results!$A$2:$A$482,AJ$4,Results!$G$2:$G$482,"&gt;0")&gt;0,_xlfn.MINIFS(Results!$G$2:$G$482,Results!$F$2:$F$482,$A8,Results!$A$2:$A$482,AJ$4,Results!$G$2:$G$482,"&gt;0"),IF(COUNTIFS(Results!$F$2:$F$482,$A8,Results!$A$2:$A$482,AJ$4,Results!$H$2:$H$482,"DNF")&gt;0,"DNF","•")))</f>
        <v>7</v>
      </c>
      <c r="AK8" s="20" t="str">
        <f aca="false">IF(COUNTIFS(Results!$F$2:$F$482,$A8,Results!$A$2:$A$482,AK$4)=0,"",IF(COUNTIFS(Results!$F$2:$F$482,$A8,Results!$A$2:$A$482,AK$4,Results!$G$2:$G$482,"&gt;0")&gt;0,_xlfn.MINIFS(Results!$G$2:$G$482,Results!$F$2:$F$482,$A8,Results!$A$2:$A$482,AK$4,Results!$G$2:$G$482,"&gt;0"),IF(COUNTIFS(Results!$F$2:$F$482,$A8,Results!$A$2:$A$482,AK$4,Results!$H$2:$H$482,"DNF")&gt;0,"DNF","•")))</f>
        <v/>
      </c>
      <c r="AL8" s="20" t="str">
        <f aca="false">IF(COUNTIFS(Results!$F$2:$F$482,$A8,Results!$A$2:$A$482,AL$4)=0,"",IF(COUNTIFS(Results!$F$2:$F$482,$A8,Results!$A$2:$A$482,AL$4,Results!$G$2:$G$482,"&gt;0")&gt;0,_xlfn.MINIFS(Results!$G$2:$G$482,Results!$F$2:$F$482,$A8,Results!$A$2:$A$482,AL$4,Results!$G$2:$G$482,"&gt;0"),IF(COUNTIFS(Results!$F$2:$F$482,$A8,Results!$A$2:$A$482,AL$4,Results!$H$2:$H$482,"DNF")&gt;0,"DNF","•")))</f>
        <v/>
      </c>
      <c r="AM8" s="20" t="str">
        <f aca="false">IF(COUNTIFS(Results!$F$2:$F$482,$A8,Results!$A$2:$A$482,AM$4)=0,"",IF(COUNTIFS(Results!$F$2:$F$482,$A8,Results!$A$2:$A$482,AM$4,Results!$G$2:$G$482,"&gt;0")&gt;0,_xlfn.MINIFS(Results!$G$2:$G$482,Results!$F$2:$F$482,$A8,Results!$A$2:$A$482,AM$4,Results!$G$2:$G$482,"&gt;0"),IF(COUNTIFS(Results!$F$2:$F$482,$A8,Results!$A$2:$A$482,AM$4,Results!$H$2:$H$482,"DNF")&gt;0,"DNF","•")))</f>
        <v/>
      </c>
      <c r="AN8" s="20" t="n">
        <f aca="false">IF(COUNTIFS(Results!$F$2:$F$482,$A8,Results!$A$2:$A$482,AN$4)=0,"",IF(COUNTIFS(Results!$F$2:$F$482,$A8,Results!$A$2:$A$482,AN$4,Results!$G$2:$G$482,"&gt;0")&gt;0,_xlfn.MINIFS(Results!$G$2:$G$482,Results!$F$2:$F$482,$A8,Results!$A$2:$A$482,AN$4,Results!$G$2:$G$482,"&gt;0"),IF(COUNTIFS(Results!$F$2:$F$482,$A8,Results!$A$2:$A$482,AN$4,Results!$H$2:$H$482,"DNF")&gt;0,"DNF","•")))</f>
        <v>31</v>
      </c>
      <c r="AO8" s="20" t="str">
        <f aca="false">IF(COUNTIFS(Results!$F$2:$F$482,$A8,Results!$A$2:$A$482,AO$4)=0,"",IF(COUNTIFS(Results!$F$2:$F$482,$A8,Results!$A$2:$A$482,AO$4,Results!$G$2:$G$482,"&gt;0")&gt;0,_xlfn.MINIFS(Results!$G$2:$G$482,Results!$F$2:$F$482,$A8,Results!$A$2:$A$482,AO$4,Results!$G$2:$G$482,"&gt;0"),IF(COUNTIFS(Results!$F$2:$F$482,$A8,Results!$A$2:$A$482,AO$4,Results!$H$2:$H$482,"DNF")&gt;0,"DNF","•")))</f>
        <v/>
      </c>
      <c r="AP8" s="20" t="str">
        <f aca="false">IF(COUNTIFS(Results!$F$2:$F$482,$A8,Results!$A$2:$A$482,AP$4)=0,"",IF(COUNTIFS(Results!$F$2:$F$482,$A8,Results!$A$2:$A$482,AP$4,Results!$G$2:$G$482,"&gt;0")&gt;0,_xlfn.MINIFS(Results!$G$2:$G$482,Results!$F$2:$F$482,$A8,Results!$A$2:$A$482,AP$4,Results!$G$2:$G$482,"&gt;0"),IF(COUNTIFS(Results!$F$2:$F$482,$A8,Results!$A$2:$A$482,AP$4,Results!$H$2:$H$482,"DNF")&gt;0,"DNF","•")))</f>
        <v/>
      </c>
      <c r="AQ8" s="20" t="str">
        <f aca="false">IF(COUNTIFS(Results!$F$2:$F$482,$A8,Results!$A$2:$A$482,AQ$4)=0,"",IF(COUNTIFS(Results!$F$2:$F$482,$A8,Results!$A$2:$A$482,AQ$4,Results!$G$2:$G$482,"&gt;0")&gt;0,_xlfn.MINIFS(Results!$G$2:$G$482,Results!$F$2:$F$482,$A8,Results!$A$2:$A$482,AQ$4,Results!$G$2:$G$482,"&gt;0"),IF(COUNTIFS(Results!$F$2:$F$482,$A8,Results!$A$2:$A$482,AQ$4,Results!$H$2:$H$482,"DNF")&gt;0,"DNF","•")))</f>
        <v/>
      </c>
      <c r="AR8" s="20" t="str">
        <f aca="false">IF(COUNTIFS(Results!$F$2:$F$482,$A8,Results!$A$2:$A$482,AR$4)=0,"",IF(COUNTIFS(Results!$F$2:$F$482,$A8,Results!$A$2:$A$482,AR$4,Results!$G$2:$G$482,"&gt;0")&gt;0,_xlfn.MINIFS(Results!$G$2:$G$482,Results!$F$2:$F$482,$A8,Results!$A$2:$A$482,AR$4,Results!$G$2:$G$482,"&gt;0"),IF(COUNTIFS(Results!$F$2:$F$482,$A8,Results!$A$2:$A$482,AR$4,Results!$H$2:$H$482,"DNF")&gt;0,"DNF","•")))</f>
        <v/>
      </c>
      <c r="AS8" s="20" t="str">
        <f aca="false">IF(COUNTIFS(Results!$F$2:$F$482,$A8,Results!$A$2:$A$482,AS$4)=0,"",IF(COUNTIFS(Results!$F$2:$F$482,$A8,Results!$A$2:$A$482,AS$4,Results!$G$2:$G$482,"&gt;0")&gt;0,_xlfn.MINIFS(Results!$G$2:$G$482,Results!$F$2:$F$482,$A8,Results!$A$2:$A$482,AS$4,Results!$G$2:$G$482,"&gt;0"),IF(COUNTIFS(Results!$F$2:$F$482,$A8,Results!$A$2:$A$482,AS$4,Results!$H$2:$H$482,"DNF")&gt;0,"DNF","•")))</f>
        <v/>
      </c>
      <c r="AT8" s="20" t="str">
        <f aca="false">IF(COUNTIFS(Results!$F$2:$F$482,$A8,Results!$A$2:$A$482,AT$4)=0,"",IF(COUNTIFS(Results!$F$2:$F$482,$A8,Results!$A$2:$A$482,AT$4,Results!$G$2:$G$482,"&gt;0")&gt;0,_xlfn.MINIFS(Results!$G$2:$G$482,Results!$F$2:$F$482,$A8,Results!$A$2:$A$482,AT$4,Results!$G$2:$G$482,"&gt;0"),IF(COUNTIFS(Results!$F$2:$F$482,$A8,Results!$A$2:$A$482,AT$4,Results!$H$2:$H$482,"DNF")&gt;0,"DNF","•")))</f>
        <v/>
      </c>
      <c r="AU8" s="20" t="n">
        <f aca="false">IF(COUNTIFS(Results!$F$2:$F$482,$A8,Results!$A$2:$A$482,AU$4)=0,"",IF(COUNTIFS(Results!$F$2:$F$482,$A8,Results!$A$2:$A$482,AU$4,Results!$G$2:$G$482,"&gt;0")&gt;0,_xlfn.MINIFS(Results!$G$2:$G$482,Results!$F$2:$F$482,$A8,Results!$A$2:$A$482,AU$4,Results!$G$2:$G$482,"&gt;0"),IF(COUNTIFS(Results!$F$2:$F$482,$A8,Results!$A$2:$A$482,AU$4,Results!$H$2:$H$482,"DNF")&gt;0,"DNF","•")))</f>
        <v>1</v>
      </c>
      <c r="AV8" s="20" t="str">
        <f aca="false">IF(COUNTIFS(Results!$F$2:$F$482,$A8,Results!$A$2:$A$482,AV$4)=0,"",IF(COUNTIFS(Results!$F$2:$F$482,$A8,Results!$A$2:$A$482,AV$4,Results!$G$2:$G$482,"&gt;0")&gt;0,_xlfn.MINIFS(Results!$G$2:$G$482,Results!$F$2:$F$482,$A8,Results!$A$2:$A$482,AV$4,Results!$G$2:$G$482,"&gt;0"),IF(COUNTIFS(Results!$F$2:$F$482,$A8,Results!$A$2:$A$482,AV$4,Results!$H$2:$H$482,"DNF")&gt;0,"DNF","•")))</f>
        <v/>
      </c>
      <c r="AW8" s="20" t="str">
        <f aca="false">IF(COUNTIFS(Results!$F$2:$F$482,$A8,Results!$A$2:$A$482,AW$4)=0,"",IF(COUNTIFS(Results!$F$2:$F$482,$A8,Results!$A$2:$A$482,AW$4,Results!$G$2:$G$482,"&gt;0")&gt;0,_xlfn.MINIFS(Results!$G$2:$G$482,Results!$F$2:$F$482,$A8,Results!$A$2:$A$482,AW$4,Results!$G$2:$G$482,"&gt;0"),IF(COUNTIFS(Results!$F$2:$F$482,$A8,Results!$A$2:$A$482,AW$4,Results!$H$2:$H$482,"DNF")&gt;0,"DNF","•")))</f>
        <v/>
      </c>
      <c r="AX8" s="20" t="str">
        <f aca="false">IF(COUNTIFS(Results!$F$2:$F$482,$A8,Results!$A$2:$A$482,AX$4)=0,"",IF(COUNTIFS(Results!$F$2:$F$482,$A8,Results!$A$2:$A$482,AX$4,Results!$G$2:$G$482,"&gt;0")&gt;0,_xlfn.MINIFS(Results!$G$2:$G$482,Results!$F$2:$F$482,$A8,Results!$A$2:$A$482,AX$4,Results!$G$2:$G$482,"&gt;0"),IF(COUNTIFS(Results!$F$2:$F$482,$A8,Results!$A$2:$A$482,AX$4,Results!$H$2:$H$482,"DNF")&gt;0,"DNF","•")))</f>
        <v/>
      </c>
      <c r="AY8" s="20" t="str">
        <f aca="false">IF(COUNTIFS(Results!$F$2:$F$482,$A8,Results!$A$2:$A$482,AY$4)=0,"",IF(COUNTIFS(Results!$F$2:$F$482,$A8,Results!$A$2:$A$482,AY$4,Results!$G$2:$G$482,"&gt;0")&gt;0,_xlfn.MINIFS(Results!$G$2:$G$482,Results!$F$2:$F$482,$A8,Results!$A$2:$A$482,AY$4,Results!$G$2:$G$482,"&gt;0"),IF(COUNTIFS(Results!$F$2:$F$482,$A8,Results!$A$2:$A$482,AY$4,Results!$H$2:$H$482,"DNF")&gt;0,"DNF","•")))</f>
        <v/>
      </c>
      <c r="AZ8" s="20" t="str">
        <f aca="false">IF(COUNTIFS(Results!$F$2:$F$482,$A8,Results!$A$2:$A$482,AZ$4)=0,"",IF(COUNTIFS(Results!$F$2:$F$482,$A8,Results!$A$2:$A$482,AZ$4,Results!$G$2:$G$482,"&gt;0")&gt;0,_xlfn.MINIFS(Results!$G$2:$G$482,Results!$F$2:$F$482,$A8,Results!$A$2:$A$482,AZ$4,Results!$G$2:$G$482,"&gt;0"),IF(COUNTIFS(Results!$F$2:$F$482,$A8,Results!$A$2:$A$482,AZ$4,Results!$H$2:$H$482,"DNF")&gt;0,"DNF","•")))</f>
        <v/>
      </c>
      <c r="BA8" s="20" t="str">
        <f aca="false">IF(COUNTIFS(Results!$F$2:$F$482,$A8,Results!$A$2:$A$482,BA$4)=0,"",IF(COUNTIFS(Results!$F$2:$F$482,$A8,Results!$A$2:$A$482,BA$4,Results!$G$2:$G$482,"&gt;0")&gt;0,_xlfn.MINIFS(Results!$G$2:$G$482,Results!$F$2:$F$482,$A8,Results!$A$2:$A$482,BA$4,Results!$G$2:$G$482,"&gt;0"),IF(COUNTIFS(Results!$F$2:$F$482,$A8,Results!$A$2:$A$482,BA$4,Results!$H$2:$H$482,"DNF")&gt;0,"DNF","•")))</f>
        <v/>
      </c>
      <c r="BB8" s="20" t="str">
        <f aca="false">IF(COUNTIFS(Results!$F$2:$F$482,$A8,Results!$A$2:$A$482,BB$4)=0,"",IF(COUNTIFS(Results!$F$2:$F$482,$A8,Results!$A$2:$A$482,BB$4,Results!$G$2:$G$482,"&gt;0")&gt;0,_xlfn.MINIFS(Results!$G$2:$G$482,Results!$F$2:$F$482,$A8,Results!$A$2:$A$482,BB$4,Results!$G$2:$G$482,"&gt;0"),IF(COUNTIFS(Results!$F$2:$F$482,$A8,Results!$A$2:$A$482,BB$4,Results!$H$2:$H$482,"DNF")&gt;0,"DNF","•")))</f>
        <v/>
      </c>
      <c r="BC8" s="20" t="str">
        <f aca="false">IF(COUNTIFS(Results!$F$2:$F$482,$A8,Results!$A$2:$A$482,BC$4)=0,"",IF(COUNTIFS(Results!$F$2:$F$482,$A8,Results!$A$2:$A$482,BC$4,Results!$G$2:$G$482,"&gt;0")&gt;0,_xlfn.MINIFS(Results!$G$2:$G$482,Results!$F$2:$F$482,$A8,Results!$A$2:$A$482,BC$4,Results!$G$2:$G$482,"&gt;0"),IF(COUNTIFS(Results!$F$2:$F$482,$A8,Results!$A$2:$A$482,BC$4,Results!$H$2:$H$482,"DNF")&gt;0,"DNF","•")))</f>
        <v/>
      </c>
      <c r="BD8" s="20" t="str">
        <f aca="false">IF(COUNTIFS(Results!$F$2:$F$482,$A8,Results!$A$2:$A$482,BD$4)=0,"",IF(COUNTIFS(Results!$F$2:$F$482,$A8,Results!$A$2:$A$482,BD$4,Results!$G$2:$G$482,"&gt;0")&gt;0,_xlfn.MINIFS(Results!$G$2:$G$482,Results!$F$2:$F$482,$A8,Results!$A$2:$A$482,BD$4,Results!$G$2:$G$482,"&gt;0"),IF(COUNTIFS(Results!$F$2:$F$482,$A8,Results!$A$2:$A$482,BD$4,Results!$H$2:$H$482,"DNF")&gt;0,"DNF","•")))</f>
        <v/>
      </c>
      <c r="BE8" s="20" t="str">
        <f aca="false">IF(COUNTIFS(Results!$F$2:$F$482,$A8,Results!$A$2:$A$482,BE$4)=0,"",IF(COUNTIFS(Results!$F$2:$F$482,$A8,Results!$A$2:$A$482,BE$4,Results!$G$2:$G$482,"&gt;0")&gt;0,_xlfn.MINIFS(Results!$G$2:$G$482,Results!$F$2:$F$482,$A8,Results!$A$2:$A$482,BE$4,Results!$G$2:$G$482,"&gt;0"),IF(COUNTIFS(Results!$F$2:$F$482,$A8,Results!$A$2:$A$482,BE$4,Results!$H$2:$H$482,"DNF")&gt;0,"DNF","•")))</f>
        <v/>
      </c>
      <c r="BF8" s="20" t="str">
        <f aca="false">IF(COUNTIFS(Results!$F$2:$F$482,$A8,Results!$A$2:$A$482,BF$4)=0,"",IF(COUNTIFS(Results!$F$2:$F$482,$A8,Results!$A$2:$A$482,BF$4,Results!$G$2:$G$482,"&gt;0")&gt;0,_xlfn.MINIFS(Results!$G$2:$G$482,Results!$F$2:$F$482,$A8,Results!$A$2:$A$482,BF$4,Results!$G$2:$G$482,"&gt;0"),IF(COUNTIFS(Results!$F$2:$F$482,$A8,Results!$A$2:$A$482,BF$4,Results!$H$2:$H$482,"DNF")&gt;0,"DNF","•")))</f>
        <v/>
      </c>
      <c r="BG8" s="20" t="str">
        <f aca="false">IF(COUNTIFS(Results!$F$2:$F$482,$A8,Results!$A$2:$A$482,BG$4)=0,"",IF(COUNTIFS(Results!$F$2:$F$482,$A8,Results!$A$2:$A$482,BG$4,Results!$G$2:$G$482,"&gt;0")&gt;0,_xlfn.MINIFS(Results!$G$2:$G$482,Results!$F$2:$F$482,$A8,Results!$A$2:$A$482,BG$4,Results!$G$2:$G$482,"&gt;0"),IF(COUNTIFS(Results!$F$2:$F$482,$A8,Results!$A$2:$A$482,BG$4,Results!$H$2:$H$482,"DNF")&gt;0,"DNF","•")))</f>
        <v/>
      </c>
      <c r="BH8" s="20" t="str">
        <f aca="false">IF(COUNTIFS(Results!$F$2:$F$482,$A8,Results!$A$2:$A$482,BH$4)=0,"",IF(COUNTIFS(Results!$F$2:$F$482,$A8,Results!$A$2:$A$482,BH$4,Results!$G$2:$G$482,"&gt;0")&gt;0,_xlfn.MINIFS(Results!$G$2:$G$482,Results!$F$2:$F$482,$A8,Results!$A$2:$A$482,BH$4,Results!$G$2:$G$482,"&gt;0"),IF(COUNTIFS(Results!$F$2:$F$482,$A8,Results!$A$2:$A$482,BH$4,Results!$H$2:$H$482,"DNF")&gt;0,"DNF","•")))</f>
        <v/>
      </c>
      <c r="BI8" s="20" t="str">
        <f aca="false">IF(COUNTIFS(Results!$F$2:$F$482,$A8,Results!$A$2:$A$482,BI$4)=0,"",IF(COUNTIFS(Results!$F$2:$F$482,$A8,Results!$A$2:$A$482,BI$4,Results!$G$2:$G$482,"&gt;0")&gt;0,_xlfn.MINIFS(Results!$G$2:$G$482,Results!$F$2:$F$482,$A8,Results!$A$2:$A$482,BI$4,Results!$G$2:$G$482,"&gt;0"),IF(COUNTIFS(Results!$F$2:$F$482,$A8,Results!$A$2:$A$482,BI$4,Results!$H$2:$H$482,"DNF")&gt;0,"DNF","•")))</f>
        <v/>
      </c>
      <c r="BJ8" s="20" t="str">
        <f aca="false">IF(COUNTIFS(Results!$F$2:$F$482,$A8,Results!$A$2:$A$482,BJ$4)=0,"",IF(COUNTIFS(Results!$F$2:$F$482,$A8,Results!$A$2:$A$482,BJ$4,Results!$G$2:$G$482,"&gt;0")&gt;0,_xlfn.MINIFS(Results!$G$2:$G$482,Results!$F$2:$F$482,$A8,Results!$A$2:$A$482,BJ$4,Results!$G$2:$G$482,"&gt;0"),IF(COUNTIFS(Results!$F$2:$F$482,$A8,Results!$A$2:$A$482,BJ$4,Results!$H$2:$H$482,"DNF")&gt;0,"DNF","•")))</f>
        <v/>
      </c>
      <c r="BK8" s="20" t="str">
        <f aca="false">IF(COUNTIFS(Results!$F$2:$F$482,$A8,Results!$A$2:$A$482,BK$4)=0,"",IF(COUNTIFS(Results!$F$2:$F$482,$A8,Results!$A$2:$A$482,BK$4,Results!$G$2:$G$482,"&gt;0")&gt;0,_xlfn.MINIFS(Results!$G$2:$G$482,Results!$F$2:$F$482,$A8,Results!$A$2:$A$482,BK$4,Results!$G$2:$G$482,"&gt;0"),IF(COUNTIFS(Results!$F$2:$F$482,$A8,Results!$A$2:$A$482,BK$4,Results!$H$2:$H$482,"DNF")&gt;0,"DNF","•")))</f>
        <v/>
      </c>
      <c r="BL8" s="20" t="str">
        <f aca="false">IF(COUNTIFS(Results!$F$2:$F$482,$A8,Results!$A$2:$A$482,BL$4)=0,"",IF(COUNTIFS(Results!$F$2:$F$482,$A8,Results!$A$2:$A$482,BL$4,Results!$G$2:$G$482,"&gt;0")&gt;0,_xlfn.MINIFS(Results!$G$2:$G$482,Results!$F$2:$F$482,$A8,Results!$A$2:$A$482,BL$4,Results!$G$2:$G$482,"&gt;0"),IF(COUNTIFS(Results!$F$2:$F$482,$A8,Results!$A$2:$A$482,BL$4,Results!$H$2:$H$482,"DNF")&gt;0,"DNF","•")))</f>
        <v/>
      </c>
    </row>
    <row r="9" customFormat="false" ht="15" hidden="false" customHeight="false" outlineLevel="0" collapsed="false">
      <c r="A9" s="7" t="str">
        <f aca="false">Riders!A7</f>
        <v>Maja Tracka</v>
      </c>
      <c r="B9" s="20" t="str">
        <f aca="false">IF(COUNTIFS(Results!$F$2:$F$482,$A9,Results!$A$2:$A$482,B$4)=0,"",IF(COUNTIFS(Results!$F$2:$F$482,$A9,Results!$A$2:$A$482,B$4,Results!$G$2:$G$482,"&gt;0")&gt;0,_xlfn.MINIFS(Results!$G$2:$G$482,Results!$F$2:$F$482,$A9,Results!$A$2:$A$482,B$4,Results!$G$2:$G$482,"&gt;0"),IF(COUNTIFS(Results!$F$2:$F$482,$A9,Results!$A$2:$A$482,B$4,Results!$H$2:$H$482,"DNF")&gt;0,"DNF","•")))</f>
        <v/>
      </c>
      <c r="C9" s="20" t="str">
        <f aca="false">IF(COUNTIFS(Results!$F$2:$F$482,$A9,Results!$A$2:$A$482,C$4)=0,"",IF(COUNTIFS(Results!$F$2:$F$482,$A9,Results!$A$2:$A$482,C$4,Results!$G$2:$G$482,"&gt;0")&gt;0,_xlfn.MINIFS(Results!$G$2:$G$482,Results!$F$2:$F$482,$A9,Results!$A$2:$A$482,C$4,Results!$G$2:$G$482,"&gt;0"),IF(COUNTIFS(Results!$F$2:$F$482,$A9,Results!$A$2:$A$482,C$4,Results!$H$2:$H$482,"DNF")&gt;0,"DNF","•")))</f>
        <v/>
      </c>
      <c r="D9" s="20" t="n">
        <f aca="false">IF(COUNTIFS(Results!$F$2:$F$482,$A9,Results!$A$2:$A$482,D$4)=0,"",IF(COUNTIFS(Results!$F$2:$F$482,$A9,Results!$A$2:$A$482,D$4,Results!$G$2:$G$482,"&gt;0")&gt;0,_xlfn.MINIFS(Results!$G$2:$G$482,Results!$F$2:$F$482,$A9,Results!$A$2:$A$482,D$4,Results!$G$2:$G$482,"&gt;0"),IF(COUNTIFS(Results!$F$2:$F$482,$A9,Results!$A$2:$A$482,D$4,Results!$H$2:$H$482,"DNF")&gt;0,"DNF","•")))</f>
        <v>5</v>
      </c>
      <c r="E9" s="20" t="str">
        <f aca="false">IF(COUNTIFS(Results!$F$2:$F$482,$A9,Results!$A$2:$A$482,E$4)=0,"",IF(COUNTIFS(Results!$F$2:$F$482,$A9,Results!$A$2:$A$482,E$4,Results!$G$2:$G$482,"&gt;0")&gt;0,_xlfn.MINIFS(Results!$G$2:$G$482,Results!$F$2:$F$482,$A9,Results!$A$2:$A$482,E$4,Results!$G$2:$G$482,"&gt;0"),IF(COUNTIFS(Results!$F$2:$F$482,$A9,Results!$A$2:$A$482,E$4,Results!$H$2:$H$482,"DNF")&gt;0,"DNF","•")))</f>
        <v/>
      </c>
      <c r="F9" s="20" t="n">
        <f aca="false">IF(COUNTIFS(Results!$F$2:$F$482,$A9,Results!$A$2:$A$482,F$4)=0,"",IF(COUNTIFS(Results!$F$2:$F$482,$A9,Results!$A$2:$A$482,F$4,Results!$G$2:$G$482,"&gt;0")&gt;0,_xlfn.MINIFS(Results!$G$2:$G$482,Results!$F$2:$F$482,$A9,Results!$A$2:$A$482,F$4,Results!$G$2:$G$482,"&gt;0"),IF(COUNTIFS(Results!$F$2:$F$482,$A9,Results!$A$2:$A$482,F$4,Results!$H$2:$H$482,"DNF")&gt;0,"DNF","•")))</f>
        <v>4</v>
      </c>
      <c r="G9" s="20" t="str">
        <f aca="false">IF(COUNTIFS(Results!$F$2:$F$482,$A9,Results!$A$2:$A$482,G$4)=0,"",IF(COUNTIFS(Results!$F$2:$F$482,$A9,Results!$A$2:$A$482,G$4,Results!$G$2:$G$482,"&gt;0")&gt;0,_xlfn.MINIFS(Results!$G$2:$G$482,Results!$F$2:$F$482,$A9,Results!$A$2:$A$482,G$4,Results!$G$2:$G$482,"&gt;0"),IF(COUNTIFS(Results!$F$2:$F$482,$A9,Results!$A$2:$A$482,G$4,Results!$H$2:$H$482,"DNF")&gt;0,"DNF","•")))</f>
        <v>DNF</v>
      </c>
      <c r="H9" s="20" t="str">
        <f aca="false">IF(COUNTIFS(Results!$F$2:$F$482,$A9,Results!$A$2:$A$482,H$4)=0,"",IF(COUNTIFS(Results!$F$2:$F$482,$A9,Results!$A$2:$A$482,H$4,Results!$G$2:$G$482,"&gt;0")&gt;0,_xlfn.MINIFS(Results!$G$2:$G$482,Results!$F$2:$F$482,$A9,Results!$A$2:$A$482,H$4,Results!$G$2:$G$482,"&gt;0"),IF(COUNTIFS(Results!$F$2:$F$482,$A9,Results!$A$2:$A$482,H$4,Results!$H$2:$H$482,"DNF")&gt;0,"DNF","•")))</f>
        <v/>
      </c>
      <c r="I9" s="20" t="str">
        <f aca="false">IF(COUNTIFS(Results!$F$2:$F$482,$A9,Results!$A$2:$A$482,I$4)=0,"",IF(COUNTIFS(Results!$F$2:$F$482,$A9,Results!$A$2:$A$482,I$4,Results!$G$2:$G$482,"&gt;0")&gt;0,_xlfn.MINIFS(Results!$G$2:$G$482,Results!$F$2:$F$482,$A9,Results!$A$2:$A$482,I$4,Results!$G$2:$G$482,"&gt;0"),IF(COUNTIFS(Results!$F$2:$F$482,$A9,Results!$A$2:$A$482,I$4,Results!$H$2:$H$482,"DNF")&gt;0,"DNF","•")))</f>
        <v/>
      </c>
      <c r="J9" s="20" t="str">
        <f aca="false">IF(COUNTIFS(Results!$F$2:$F$482,$A9,Results!$A$2:$A$482,J$4)=0,"",IF(COUNTIFS(Results!$F$2:$F$482,$A9,Results!$A$2:$A$482,J$4,Results!$G$2:$G$482,"&gt;0")&gt;0,_xlfn.MINIFS(Results!$G$2:$G$482,Results!$F$2:$F$482,$A9,Results!$A$2:$A$482,J$4,Results!$G$2:$G$482,"&gt;0"),IF(COUNTIFS(Results!$F$2:$F$482,$A9,Results!$A$2:$A$482,J$4,Results!$H$2:$H$482,"DNF")&gt;0,"DNF","•")))</f>
        <v/>
      </c>
      <c r="K9" s="20" t="str">
        <f aca="false">IF(COUNTIFS(Results!$F$2:$F$482,$A9,Results!$A$2:$A$482,K$4)=0,"",IF(COUNTIFS(Results!$F$2:$F$482,$A9,Results!$A$2:$A$482,K$4,Results!$G$2:$G$482,"&gt;0")&gt;0,_xlfn.MINIFS(Results!$G$2:$G$482,Results!$F$2:$F$482,$A9,Results!$A$2:$A$482,K$4,Results!$G$2:$G$482,"&gt;0"),IF(COUNTIFS(Results!$F$2:$F$482,$A9,Results!$A$2:$A$482,K$4,Results!$H$2:$H$482,"DNF")&gt;0,"DNF","•")))</f>
        <v/>
      </c>
      <c r="L9" s="20" t="n">
        <f aca="false">IF(COUNTIFS(Results!$F$2:$F$482,$A9,Results!$A$2:$A$482,L$4)=0,"",IF(COUNTIFS(Results!$F$2:$F$482,$A9,Results!$A$2:$A$482,L$4,Results!$G$2:$G$482,"&gt;0")&gt;0,_xlfn.MINIFS(Results!$G$2:$G$482,Results!$F$2:$F$482,$A9,Results!$A$2:$A$482,L$4,Results!$G$2:$G$482,"&gt;0"),IF(COUNTIFS(Results!$F$2:$F$482,$A9,Results!$A$2:$A$482,L$4,Results!$H$2:$H$482,"DNF")&gt;0,"DNF","•")))</f>
        <v>17</v>
      </c>
      <c r="M9" s="20" t="n">
        <f aca="false">IF(COUNTIFS(Results!$F$2:$F$482,$A9,Results!$A$2:$A$482,M$4)=0,"",IF(COUNTIFS(Results!$F$2:$F$482,$A9,Results!$A$2:$A$482,M$4,Results!$G$2:$G$482,"&gt;0")&gt;0,_xlfn.MINIFS(Results!$G$2:$G$482,Results!$F$2:$F$482,$A9,Results!$A$2:$A$482,M$4,Results!$G$2:$G$482,"&gt;0"),IF(COUNTIFS(Results!$F$2:$F$482,$A9,Results!$A$2:$A$482,M$4,Results!$H$2:$H$482,"DNF")&gt;0,"DNF","•")))</f>
        <v>81</v>
      </c>
      <c r="N9" s="20" t="n">
        <f aca="false">IF(COUNTIFS(Results!$F$2:$F$482,$A9,Results!$A$2:$A$482,N$4)=0,"",IF(COUNTIFS(Results!$F$2:$F$482,$A9,Results!$A$2:$A$482,N$4,Results!$G$2:$G$482,"&gt;0")&gt;0,_xlfn.MINIFS(Results!$G$2:$G$482,Results!$F$2:$F$482,$A9,Results!$A$2:$A$482,N$4,Results!$G$2:$G$482,"&gt;0"),IF(COUNTIFS(Results!$F$2:$F$482,$A9,Results!$A$2:$A$482,N$4,Results!$H$2:$H$482,"DNF")&gt;0,"DNF","•")))</f>
        <v>2</v>
      </c>
      <c r="O9" s="20" t="str">
        <f aca="false">IF(COUNTIFS(Results!$F$2:$F$482,$A9,Results!$A$2:$A$482,O$4)=0,"",IF(COUNTIFS(Results!$F$2:$F$482,$A9,Results!$A$2:$A$482,O$4,Results!$G$2:$G$482,"&gt;0")&gt;0,_xlfn.MINIFS(Results!$G$2:$G$482,Results!$F$2:$F$482,$A9,Results!$A$2:$A$482,O$4,Results!$G$2:$G$482,"&gt;0"),IF(COUNTIFS(Results!$F$2:$F$482,$A9,Results!$A$2:$A$482,O$4,Results!$H$2:$H$482,"DNF")&gt;0,"DNF","•")))</f>
        <v>DNF</v>
      </c>
      <c r="P9" s="20" t="str">
        <f aca="false">IF(COUNTIFS(Results!$F$2:$F$482,$A9,Results!$A$2:$A$482,P$4)=0,"",IF(COUNTIFS(Results!$F$2:$F$482,$A9,Results!$A$2:$A$482,P$4,Results!$G$2:$G$482,"&gt;0")&gt;0,_xlfn.MINIFS(Results!$G$2:$G$482,Results!$F$2:$F$482,$A9,Results!$A$2:$A$482,P$4,Results!$G$2:$G$482,"&gt;0"),IF(COUNTIFS(Results!$F$2:$F$482,$A9,Results!$A$2:$A$482,P$4,Results!$H$2:$H$482,"DNF")&gt;0,"DNF","•")))</f>
        <v/>
      </c>
      <c r="Q9" s="20" t="str">
        <f aca="false">IF(COUNTIFS(Results!$F$2:$F$482,$A9,Results!$A$2:$A$482,Q$4)=0,"",IF(COUNTIFS(Results!$F$2:$F$482,$A9,Results!$A$2:$A$482,Q$4,Results!$G$2:$G$482,"&gt;0")&gt;0,_xlfn.MINIFS(Results!$G$2:$G$482,Results!$F$2:$F$482,$A9,Results!$A$2:$A$482,Q$4,Results!$G$2:$G$482,"&gt;0"),IF(COUNTIFS(Results!$F$2:$F$482,$A9,Results!$A$2:$A$482,Q$4,Results!$H$2:$H$482,"DNF")&gt;0,"DNF","•")))</f>
        <v/>
      </c>
      <c r="R9" s="20" t="str">
        <f aca="false">IF(COUNTIFS(Results!$F$2:$F$482,$A9,Results!$A$2:$A$482,R$4)=0,"",IF(COUNTIFS(Results!$F$2:$F$482,$A9,Results!$A$2:$A$482,R$4,Results!$G$2:$G$482,"&gt;0")&gt;0,_xlfn.MINIFS(Results!$G$2:$G$482,Results!$F$2:$F$482,$A9,Results!$A$2:$A$482,R$4,Results!$G$2:$G$482,"&gt;0"),IF(COUNTIFS(Results!$F$2:$F$482,$A9,Results!$A$2:$A$482,R$4,Results!$H$2:$H$482,"DNF")&gt;0,"DNF","•")))</f>
        <v/>
      </c>
      <c r="S9" s="20" t="str">
        <f aca="false">IF(COUNTIFS(Results!$F$2:$F$482,$A9,Results!$A$2:$A$482,S$4)=0,"",IF(COUNTIFS(Results!$F$2:$F$482,$A9,Results!$A$2:$A$482,S$4,Results!$G$2:$G$482,"&gt;0")&gt;0,_xlfn.MINIFS(Results!$G$2:$G$482,Results!$F$2:$F$482,$A9,Results!$A$2:$A$482,S$4,Results!$G$2:$G$482,"&gt;0"),IF(COUNTIFS(Results!$F$2:$F$482,$A9,Results!$A$2:$A$482,S$4,Results!$H$2:$H$482,"DNF")&gt;0,"DNF","•")))</f>
        <v/>
      </c>
      <c r="T9" s="20" t="n">
        <f aca="false">IF(COUNTIFS(Results!$F$2:$F$482,$A9,Results!$A$2:$A$482,T$4)=0,"",IF(COUNTIFS(Results!$F$2:$F$482,$A9,Results!$A$2:$A$482,T$4,Results!$G$2:$G$482,"&gt;0")&gt;0,_xlfn.MINIFS(Results!$G$2:$G$482,Results!$F$2:$F$482,$A9,Results!$A$2:$A$482,T$4,Results!$G$2:$G$482,"&gt;0"),IF(COUNTIFS(Results!$F$2:$F$482,$A9,Results!$A$2:$A$482,T$4,Results!$H$2:$H$482,"DNF")&gt;0,"DNF","•")))</f>
        <v>1</v>
      </c>
      <c r="U9" s="20" t="n">
        <f aca="false">IF(COUNTIFS(Results!$F$2:$F$482,$A9,Results!$A$2:$A$482,U$4)=0,"",IF(COUNTIFS(Results!$F$2:$F$482,$A9,Results!$A$2:$A$482,U$4,Results!$G$2:$G$482,"&gt;0")&gt;0,_xlfn.MINIFS(Results!$G$2:$G$482,Results!$F$2:$F$482,$A9,Results!$A$2:$A$482,U$4,Results!$G$2:$G$482,"&gt;0"),IF(COUNTIFS(Results!$F$2:$F$482,$A9,Results!$A$2:$A$482,U$4,Results!$H$2:$H$482,"DNF")&gt;0,"DNF","•")))</f>
        <v>6</v>
      </c>
      <c r="V9" s="20" t="str">
        <f aca="false">IF(COUNTIFS(Results!$F$2:$F$482,$A9,Results!$A$2:$A$482,V$4)=0,"",IF(COUNTIFS(Results!$F$2:$F$482,$A9,Results!$A$2:$A$482,V$4,Results!$G$2:$G$482,"&gt;0")&gt;0,_xlfn.MINIFS(Results!$G$2:$G$482,Results!$F$2:$F$482,$A9,Results!$A$2:$A$482,V$4,Results!$G$2:$G$482,"&gt;0"),IF(COUNTIFS(Results!$F$2:$F$482,$A9,Results!$A$2:$A$482,V$4,Results!$H$2:$H$482,"DNF")&gt;0,"DNF","•")))</f>
        <v/>
      </c>
      <c r="W9" s="20" t="str">
        <f aca="false">IF(COUNTIFS(Results!$F$2:$F$482,$A9,Results!$A$2:$A$482,W$4)=0,"",IF(COUNTIFS(Results!$F$2:$F$482,$A9,Results!$A$2:$A$482,W$4,Results!$G$2:$G$482,"&gt;0")&gt;0,_xlfn.MINIFS(Results!$G$2:$G$482,Results!$F$2:$F$482,$A9,Results!$A$2:$A$482,W$4,Results!$G$2:$G$482,"&gt;0"),IF(COUNTIFS(Results!$F$2:$F$482,$A9,Results!$A$2:$A$482,W$4,Results!$H$2:$H$482,"DNF")&gt;0,"DNF","•")))</f>
        <v/>
      </c>
      <c r="X9" s="20" t="str">
        <f aca="false">IF(COUNTIFS(Results!$F$2:$F$482,$A9,Results!$A$2:$A$482,X$4)=0,"",IF(COUNTIFS(Results!$F$2:$F$482,$A9,Results!$A$2:$A$482,X$4,Results!$G$2:$G$482,"&gt;0")&gt;0,_xlfn.MINIFS(Results!$G$2:$G$482,Results!$F$2:$F$482,$A9,Results!$A$2:$A$482,X$4,Results!$G$2:$G$482,"&gt;0"),IF(COUNTIFS(Results!$F$2:$F$482,$A9,Results!$A$2:$A$482,X$4,Results!$H$2:$H$482,"DNF")&gt;0,"DNF","•")))</f>
        <v/>
      </c>
      <c r="Y9" s="20" t="str">
        <f aca="false">IF(COUNTIFS(Results!$F$2:$F$482,$A9,Results!$A$2:$A$482,Y$4)=0,"",IF(COUNTIFS(Results!$F$2:$F$482,$A9,Results!$A$2:$A$482,Y$4,Results!$G$2:$G$482,"&gt;0")&gt;0,_xlfn.MINIFS(Results!$G$2:$G$482,Results!$F$2:$F$482,$A9,Results!$A$2:$A$482,Y$4,Results!$G$2:$G$482,"&gt;0"),IF(COUNTIFS(Results!$F$2:$F$482,$A9,Results!$A$2:$A$482,Y$4,Results!$H$2:$H$482,"DNF")&gt;0,"DNF","•")))</f>
        <v/>
      </c>
      <c r="Z9" s="20" t="str">
        <f aca="false">IF(COUNTIFS(Results!$F$2:$F$482,$A9,Results!$A$2:$A$482,Z$4)=0,"",IF(COUNTIFS(Results!$F$2:$F$482,$A9,Results!$A$2:$A$482,Z$4,Results!$G$2:$G$482,"&gt;0")&gt;0,_xlfn.MINIFS(Results!$G$2:$G$482,Results!$F$2:$F$482,$A9,Results!$A$2:$A$482,Z$4,Results!$G$2:$G$482,"&gt;0"),IF(COUNTIFS(Results!$F$2:$F$482,$A9,Results!$A$2:$A$482,Z$4,Results!$H$2:$H$482,"DNF")&gt;0,"DNF","•")))</f>
        <v/>
      </c>
      <c r="AA9" s="20" t="str">
        <f aca="false">IF(COUNTIFS(Results!$F$2:$F$482,$A9,Results!$A$2:$A$482,AA$4)=0,"",IF(COUNTIFS(Results!$F$2:$F$482,$A9,Results!$A$2:$A$482,AA$4,Results!$G$2:$G$482,"&gt;0")&gt;0,_xlfn.MINIFS(Results!$G$2:$G$482,Results!$F$2:$F$482,$A9,Results!$A$2:$A$482,AA$4,Results!$G$2:$G$482,"&gt;0"),IF(COUNTIFS(Results!$F$2:$F$482,$A9,Results!$A$2:$A$482,AA$4,Results!$H$2:$H$482,"DNF")&gt;0,"DNF","•")))</f>
        <v/>
      </c>
      <c r="AB9" s="20" t="str">
        <f aca="false">IF(COUNTIFS(Results!$F$2:$F$482,$A9,Results!$A$2:$A$482,AB$4)=0,"",IF(COUNTIFS(Results!$F$2:$F$482,$A9,Results!$A$2:$A$482,AB$4,Results!$G$2:$G$482,"&gt;0")&gt;0,_xlfn.MINIFS(Results!$G$2:$G$482,Results!$F$2:$F$482,$A9,Results!$A$2:$A$482,AB$4,Results!$G$2:$G$482,"&gt;0"),IF(COUNTIFS(Results!$F$2:$F$482,$A9,Results!$A$2:$A$482,AB$4,Results!$H$2:$H$482,"DNF")&gt;0,"DNF","•")))</f>
        <v/>
      </c>
      <c r="AC9" s="20" t="str">
        <f aca="false">IF(COUNTIFS(Results!$F$2:$F$482,$A9,Results!$A$2:$A$482,AC$4)=0,"",IF(COUNTIFS(Results!$F$2:$F$482,$A9,Results!$A$2:$A$482,AC$4,Results!$G$2:$G$482,"&gt;0")&gt;0,_xlfn.MINIFS(Results!$G$2:$G$482,Results!$F$2:$F$482,$A9,Results!$A$2:$A$482,AC$4,Results!$G$2:$G$482,"&gt;0"),IF(COUNTIFS(Results!$F$2:$F$482,$A9,Results!$A$2:$A$482,AC$4,Results!$H$2:$H$482,"DNF")&gt;0,"DNF","•")))</f>
        <v/>
      </c>
      <c r="AD9" s="20" t="n">
        <f aca="false">IF(COUNTIFS(Results!$F$2:$F$482,$A9,Results!$A$2:$A$482,AD$4)=0,"",IF(COUNTIFS(Results!$F$2:$F$482,$A9,Results!$A$2:$A$482,AD$4,Results!$G$2:$G$482,"&gt;0")&gt;0,_xlfn.MINIFS(Results!$G$2:$G$482,Results!$F$2:$F$482,$A9,Results!$A$2:$A$482,AD$4,Results!$G$2:$G$482,"&gt;0"),IF(COUNTIFS(Results!$F$2:$F$482,$A9,Results!$A$2:$A$482,AD$4,Results!$H$2:$H$482,"DNF")&gt;0,"DNF","•")))</f>
        <v>1</v>
      </c>
      <c r="AE9" s="20" t="str">
        <f aca="false">IF(COUNTIFS(Results!$F$2:$F$482,$A9,Results!$A$2:$A$482,AE$4)=0,"",IF(COUNTIFS(Results!$F$2:$F$482,$A9,Results!$A$2:$A$482,AE$4,Results!$G$2:$G$482,"&gt;0")&gt;0,_xlfn.MINIFS(Results!$G$2:$G$482,Results!$F$2:$F$482,$A9,Results!$A$2:$A$482,AE$4,Results!$G$2:$G$482,"&gt;0"),IF(COUNTIFS(Results!$F$2:$F$482,$A9,Results!$A$2:$A$482,AE$4,Results!$H$2:$H$482,"DNF")&gt;0,"DNF","•")))</f>
        <v/>
      </c>
      <c r="AF9" s="20" t="str">
        <f aca="false">IF(COUNTIFS(Results!$F$2:$F$482,$A9,Results!$A$2:$A$482,AF$4)=0,"",IF(COUNTIFS(Results!$F$2:$F$482,$A9,Results!$A$2:$A$482,AF$4,Results!$G$2:$G$482,"&gt;0")&gt;0,_xlfn.MINIFS(Results!$G$2:$G$482,Results!$F$2:$F$482,$A9,Results!$A$2:$A$482,AF$4,Results!$G$2:$G$482,"&gt;0"),IF(COUNTIFS(Results!$F$2:$F$482,$A9,Results!$A$2:$A$482,AF$4,Results!$H$2:$H$482,"DNF")&gt;0,"DNF","•")))</f>
        <v>DNF</v>
      </c>
      <c r="AG9" s="20" t="str">
        <f aca="false">IF(COUNTIFS(Results!$F$2:$F$482,$A9,Results!$A$2:$A$482,AG$4)=0,"",IF(COUNTIFS(Results!$F$2:$F$482,$A9,Results!$A$2:$A$482,AG$4,Results!$G$2:$G$482,"&gt;0")&gt;0,_xlfn.MINIFS(Results!$G$2:$G$482,Results!$F$2:$F$482,$A9,Results!$A$2:$A$482,AG$4,Results!$G$2:$G$482,"&gt;0"),IF(COUNTIFS(Results!$F$2:$F$482,$A9,Results!$A$2:$A$482,AG$4,Results!$H$2:$H$482,"DNF")&gt;0,"DNF","•")))</f>
        <v/>
      </c>
      <c r="AH9" s="20" t="str">
        <f aca="false">IF(COUNTIFS(Results!$F$2:$F$482,$A9,Results!$A$2:$A$482,AH$4)=0,"",IF(COUNTIFS(Results!$F$2:$F$482,$A9,Results!$A$2:$A$482,AH$4,Results!$G$2:$G$482,"&gt;0")&gt;0,_xlfn.MINIFS(Results!$G$2:$G$482,Results!$F$2:$F$482,$A9,Results!$A$2:$A$482,AH$4,Results!$G$2:$G$482,"&gt;0"),IF(COUNTIFS(Results!$F$2:$F$482,$A9,Results!$A$2:$A$482,AH$4,Results!$H$2:$H$482,"DNF")&gt;0,"DNF","•")))</f>
        <v/>
      </c>
      <c r="AI9" s="20" t="str">
        <f aca="false">IF(COUNTIFS(Results!$F$2:$F$482,$A9,Results!$A$2:$A$482,AI$4)=0,"",IF(COUNTIFS(Results!$F$2:$F$482,$A9,Results!$A$2:$A$482,AI$4,Results!$G$2:$G$482,"&gt;0")&gt;0,_xlfn.MINIFS(Results!$G$2:$G$482,Results!$F$2:$F$482,$A9,Results!$A$2:$A$482,AI$4,Results!$G$2:$G$482,"&gt;0"),IF(COUNTIFS(Results!$F$2:$F$482,$A9,Results!$A$2:$A$482,AI$4,Results!$H$2:$H$482,"DNF")&gt;0,"DNF","•")))</f>
        <v/>
      </c>
      <c r="AJ9" s="20" t="n">
        <f aca="false">IF(COUNTIFS(Results!$F$2:$F$482,$A9,Results!$A$2:$A$482,AJ$4)=0,"",IF(COUNTIFS(Results!$F$2:$F$482,$A9,Results!$A$2:$A$482,AJ$4,Results!$G$2:$G$482,"&gt;0")&gt;0,_xlfn.MINIFS(Results!$G$2:$G$482,Results!$F$2:$F$482,$A9,Results!$A$2:$A$482,AJ$4,Results!$G$2:$G$482,"&gt;0"),IF(COUNTIFS(Results!$F$2:$F$482,$A9,Results!$A$2:$A$482,AJ$4,Results!$H$2:$H$482,"DNF")&gt;0,"DNF","•")))</f>
        <v>1</v>
      </c>
      <c r="AK9" s="20" t="str">
        <f aca="false">IF(COUNTIFS(Results!$F$2:$F$482,$A9,Results!$A$2:$A$482,AK$4)=0,"",IF(COUNTIFS(Results!$F$2:$F$482,$A9,Results!$A$2:$A$482,AK$4,Results!$G$2:$G$482,"&gt;0")&gt;0,_xlfn.MINIFS(Results!$G$2:$G$482,Results!$F$2:$F$482,$A9,Results!$A$2:$A$482,AK$4,Results!$G$2:$G$482,"&gt;0"),IF(COUNTIFS(Results!$F$2:$F$482,$A9,Results!$A$2:$A$482,AK$4,Results!$H$2:$H$482,"DNF")&gt;0,"DNF","•")))</f>
        <v/>
      </c>
      <c r="AL9" s="20" t="str">
        <f aca="false">IF(COUNTIFS(Results!$F$2:$F$482,$A9,Results!$A$2:$A$482,AL$4)=0,"",IF(COUNTIFS(Results!$F$2:$F$482,$A9,Results!$A$2:$A$482,AL$4,Results!$G$2:$G$482,"&gt;0")&gt;0,_xlfn.MINIFS(Results!$G$2:$G$482,Results!$F$2:$F$482,$A9,Results!$A$2:$A$482,AL$4,Results!$G$2:$G$482,"&gt;0"),IF(COUNTIFS(Results!$F$2:$F$482,$A9,Results!$A$2:$A$482,AL$4,Results!$H$2:$H$482,"DNF")&gt;0,"DNF","•")))</f>
        <v/>
      </c>
      <c r="AM9" s="20" t="n">
        <f aca="false">IF(COUNTIFS(Results!$F$2:$F$482,$A9,Results!$A$2:$A$482,AM$4)=0,"",IF(COUNTIFS(Results!$F$2:$F$482,$A9,Results!$A$2:$A$482,AM$4,Results!$G$2:$G$482,"&gt;0")&gt;0,_xlfn.MINIFS(Results!$G$2:$G$482,Results!$F$2:$F$482,$A9,Results!$A$2:$A$482,AM$4,Results!$G$2:$G$482,"&gt;0"),IF(COUNTIFS(Results!$F$2:$F$482,$A9,Results!$A$2:$A$482,AM$4,Results!$H$2:$H$482,"DNF")&gt;0,"DNF","•")))</f>
        <v>3</v>
      </c>
      <c r="AN9" s="20" t="str">
        <f aca="false">IF(COUNTIFS(Results!$F$2:$F$482,$A9,Results!$A$2:$A$482,AN$4)=0,"",IF(COUNTIFS(Results!$F$2:$F$482,$A9,Results!$A$2:$A$482,AN$4,Results!$G$2:$G$482,"&gt;0")&gt;0,_xlfn.MINIFS(Results!$G$2:$G$482,Results!$F$2:$F$482,$A9,Results!$A$2:$A$482,AN$4,Results!$G$2:$G$482,"&gt;0"),IF(COUNTIFS(Results!$F$2:$F$482,$A9,Results!$A$2:$A$482,AN$4,Results!$H$2:$H$482,"DNF")&gt;0,"DNF","•")))</f>
        <v/>
      </c>
      <c r="AO9" s="20" t="str">
        <f aca="false">IF(COUNTIFS(Results!$F$2:$F$482,$A9,Results!$A$2:$A$482,AO$4)=0,"",IF(COUNTIFS(Results!$F$2:$F$482,$A9,Results!$A$2:$A$482,AO$4,Results!$G$2:$G$482,"&gt;0")&gt;0,_xlfn.MINIFS(Results!$G$2:$G$482,Results!$F$2:$F$482,$A9,Results!$A$2:$A$482,AO$4,Results!$G$2:$G$482,"&gt;0"),IF(COUNTIFS(Results!$F$2:$F$482,$A9,Results!$A$2:$A$482,AO$4,Results!$H$2:$H$482,"DNF")&gt;0,"DNF","•")))</f>
        <v/>
      </c>
      <c r="AP9" s="20" t="str">
        <f aca="false">IF(COUNTIFS(Results!$F$2:$F$482,$A9,Results!$A$2:$A$482,AP$4)=0,"",IF(COUNTIFS(Results!$F$2:$F$482,$A9,Results!$A$2:$A$482,AP$4,Results!$G$2:$G$482,"&gt;0")&gt;0,_xlfn.MINIFS(Results!$G$2:$G$482,Results!$F$2:$F$482,$A9,Results!$A$2:$A$482,AP$4,Results!$G$2:$G$482,"&gt;0"),IF(COUNTIFS(Results!$F$2:$F$482,$A9,Results!$A$2:$A$482,AP$4,Results!$H$2:$H$482,"DNF")&gt;0,"DNF","•")))</f>
        <v/>
      </c>
      <c r="AQ9" s="20" t="n">
        <f aca="false">IF(COUNTIFS(Results!$F$2:$F$482,$A9,Results!$A$2:$A$482,AQ$4)=0,"",IF(COUNTIFS(Results!$F$2:$F$482,$A9,Results!$A$2:$A$482,AQ$4,Results!$G$2:$G$482,"&gt;0")&gt;0,_xlfn.MINIFS(Results!$G$2:$G$482,Results!$F$2:$F$482,$A9,Results!$A$2:$A$482,AQ$4,Results!$G$2:$G$482,"&gt;0"),IF(COUNTIFS(Results!$F$2:$F$482,$A9,Results!$A$2:$A$482,AQ$4,Results!$H$2:$H$482,"DNF")&gt;0,"DNF","•")))</f>
        <v>45</v>
      </c>
      <c r="AR9" s="20" t="str">
        <f aca="false">IF(COUNTIFS(Results!$F$2:$F$482,$A9,Results!$A$2:$A$482,AR$4)=0,"",IF(COUNTIFS(Results!$F$2:$F$482,$A9,Results!$A$2:$A$482,AR$4,Results!$G$2:$G$482,"&gt;0")&gt;0,_xlfn.MINIFS(Results!$G$2:$G$482,Results!$F$2:$F$482,$A9,Results!$A$2:$A$482,AR$4,Results!$G$2:$G$482,"&gt;0"),IF(COUNTIFS(Results!$F$2:$F$482,$A9,Results!$A$2:$A$482,AR$4,Results!$H$2:$H$482,"DNF")&gt;0,"DNF","•")))</f>
        <v/>
      </c>
      <c r="AS9" s="20" t="str">
        <f aca="false">IF(COUNTIFS(Results!$F$2:$F$482,$A9,Results!$A$2:$A$482,AS$4)=0,"",IF(COUNTIFS(Results!$F$2:$F$482,$A9,Results!$A$2:$A$482,AS$4,Results!$G$2:$G$482,"&gt;0")&gt;0,_xlfn.MINIFS(Results!$G$2:$G$482,Results!$F$2:$F$482,$A9,Results!$A$2:$A$482,AS$4,Results!$G$2:$G$482,"&gt;0"),IF(COUNTIFS(Results!$F$2:$F$482,$A9,Results!$A$2:$A$482,AS$4,Results!$H$2:$H$482,"DNF")&gt;0,"DNF","•")))</f>
        <v/>
      </c>
      <c r="AT9" s="20" t="str">
        <f aca="false">IF(COUNTIFS(Results!$F$2:$F$482,$A9,Results!$A$2:$A$482,AT$4)=0,"",IF(COUNTIFS(Results!$F$2:$F$482,$A9,Results!$A$2:$A$482,AT$4,Results!$G$2:$G$482,"&gt;0")&gt;0,_xlfn.MINIFS(Results!$G$2:$G$482,Results!$F$2:$F$482,$A9,Results!$A$2:$A$482,AT$4,Results!$G$2:$G$482,"&gt;0"),IF(COUNTIFS(Results!$F$2:$F$482,$A9,Results!$A$2:$A$482,AT$4,Results!$H$2:$H$482,"DNF")&gt;0,"DNF","•")))</f>
        <v/>
      </c>
      <c r="AU9" s="20" t="n">
        <f aca="false">IF(COUNTIFS(Results!$F$2:$F$482,$A9,Results!$A$2:$A$482,AU$4)=0,"",IF(COUNTIFS(Results!$F$2:$F$482,$A9,Results!$A$2:$A$482,AU$4,Results!$G$2:$G$482,"&gt;0")&gt;0,_xlfn.MINIFS(Results!$G$2:$G$482,Results!$F$2:$F$482,$A9,Results!$A$2:$A$482,AU$4,Results!$G$2:$G$482,"&gt;0"),IF(COUNTIFS(Results!$F$2:$F$482,$A9,Results!$A$2:$A$482,AU$4,Results!$H$2:$H$482,"DNF")&gt;0,"DNF","•")))</f>
        <v>1</v>
      </c>
      <c r="AV9" s="20" t="str">
        <f aca="false">IF(COUNTIFS(Results!$F$2:$F$482,$A9,Results!$A$2:$A$482,AV$4)=0,"",IF(COUNTIFS(Results!$F$2:$F$482,$A9,Results!$A$2:$A$482,AV$4,Results!$G$2:$G$482,"&gt;0")&gt;0,_xlfn.MINIFS(Results!$G$2:$G$482,Results!$F$2:$F$482,$A9,Results!$A$2:$A$482,AV$4,Results!$G$2:$G$482,"&gt;0"),IF(COUNTIFS(Results!$F$2:$F$482,$A9,Results!$A$2:$A$482,AV$4,Results!$H$2:$H$482,"DNF")&gt;0,"DNF","•")))</f>
        <v/>
      </c>
      <c r="AW9" s="20" t="str">
        <f aca="false">IF(COUNTIFS(Results!$F$2:$F$482,$A9,Results!$A$2:$A$482,AW$4)=0,"",IF(COUNTIFS(Results!$F$2:$F$482,$A9,Results!$A$2:$A$482,AW$4,Results!$G$2:$G$482,"&gt;0")&gt;0,_xlfn.MINIFS(Results!$G$2:$G$482,Results!$F$2:$F$482,$A9,Results!$A$2:$A$482,AW$4,Results!$G$2:$G$482,"&gt;0"),IF(COUNTIFS(Results!$F$2:$F$482,$A9,Results!$A$2:$A$482,AW$4,Results!$H$2:$H$482,"DNF")&gt;0,"DNF","•")))</f>
        <v/>
      </c>
      <c r="AX9" s="20" t="str">
        <f aca="false">IF(COUNTIFS(Results!$F$2:$F$482,$A9,Results!$A$2:$A$482,AX$4)=0,"",IF(COUNTIFS(Results!$F$2:$F$482,$A9,Results!$A$2:$A$482,AX$4,Results!$G$2:$G$482,"&gt;0")&gt;0,_xlfn.MINIFS(Results!$G$2:$G$482,Results!$F$2:$F$482,$A9,Results!$A$2:$A$482,AX$4,Results!$G$2:$G$482,"&gt;0"),IF(COUNTIFS(Results!$F$2:$F$482,$A9,Results!$A$2:$A$482,AX$4,Results!$H$2:$H$482,"DNF")&gt;0,"DNF","•")))</f>
        <v/>
      </c>
      <c r="AY9" s="20" t="str">
        <f aca="false">IF(COUNTIFS(Results!$F$2:$F$482,$A9,Results!$A$2:$A$482,AY$4)=0,"",IF(COUNTIFS(Results!$F$2:$F$482,$A9,Results!$A$2:$A$482,AY$4,Results!$G$2:$G$482,"&gt;0")&gt;0,_xlfn.MINIFS(Results!$G$2:$G$482,Results!$F$2:$F$482,$A9,Results!$A$2:$A$482,AY$4,Results!$G$2:$G$482,"&gt;0"),IF(COUNTIFS(Results!$F$2:$F$482,$A9,Results!$A$2:$A$482,AY$4,Results!$H$2:$H$482,"DNF")&gt;0,"DNF","•")))</f>
        <v>DNF</v>
      </c>
      <c r="AZ9" s="20" t="n">
        <f aca="false">IF(COUNTIFS(Results!$F$2:$F$482,$A9,Results!$A$2:$A$482,AZ$4)=0,"",IF(COUNTIFS(Results!$F$2:$F$482,$A9,Results!$A$2:$A$482,AZ$4,Results!$G$2:$G$482,"&gt;0")&gt;0,_xlfn.MINIFS(Results!$G$2:$G$482,Results!$F$2:$F$482,$A9,Results!$A$2:$A$482,AZ$4,Results!$G$2:$G$482,"&gt;0"),IF(COUNTIFS(Results!$F$2:$F$482,$A9,Results!$A$2:$A$482,AZ$4,Results!$H$2:$H$482,"DNF")&gt;0,"DNF","•")))</f>
        <v>35</v>
      </c>
      <c r="BA9" s="20" t="str">
        <f aca="false">IF(COUNTIFS(Results!$F$2:$F$482,$A9,Results!$A$2:$A$482,BA$4)=0,"",IF(COUNTIFS(Results!$F$2:$F$482,$A9,Results!$A$2:$A$482,BA$4,Results!$G$2:$G$482,"&gt;0")&gt;0,_xlfn.MINIFS(Results!$G$2:$G$482,Results!$F$2:$F$482,$A9,Results!$A$2:$A$482,BA$4,Results!$G$2:$G$482,"&gt;0"),IF(COUNTIFS(Results!$F$2:$F$482,$A9,Results!$A$2:$A$482,BA$4,Results!$H$2:$H$482,"DNF")&gt;0,"DNF","•")))</f>
        <v/>
      </c>
      <c r="BB9" s="20" t="str">
        <f aca="false">IF(COUNTIFS(Results!$F$2:$F$482,$A9,Results!$A$2:$A$482,BB$4)=0,"",IF(COUNTIFS(Results!$F$2:$F$482,$A9,Results!$A$2:$A$482,BB$4,Results!$G$2:$G$482,"&gt;0")&gt;0,_xlfn.MINIFS(Results!$G$2:$G$482,Results!$F$2:$F$482,$A9,Results!$A$2:$A$482,BB$4,Results!$G$2:$G$482,"&gt;0"),IF(COUNTIFS(Results!$F$2:$F$482,$A9,Results!$A$2:$A$482,BB$4,Results!$H$2:$H$482,"DNF")&gt;0,"DNF","•")))</f>
        <v/>
      </c>
      <c r="BC9" s="20" t="str">
        <f aca="false">IF(COUNTIFS(Results!$F$2:$F$482,$A9,Results!$A$2:$A$482,BC$4)=0,"",IF(COUNTIFS(Results!$F$2:$F$482,$A9,Results!$A$2:$A$482,BC$4,Results!$G$2:$G$482,"&gt;0")&gt;0,_xlfn.MINIFS(Results!$G$2:$G$482,Results!$F$2:$F$482,$A9,Results!$A$2:$A$482,BC$4,Results!$G$2:$G$482,"&gt;0"),IF(COUNTIFS(Results!$F$2:$F$482,$A9,Results!$A$2:$A$482,BC$4,Results!$H$2:$H$482,"DNF")&gt;0,"DNF","•")))</f>
        <v/>
      </c>
      <c r="BD9" s="20" t="str">
        <f aca="false">IF(COUNTIFS(Results!$F$2:$F$482,$A9,Results!$A$2:$A$482,BD$4)=0,"",IF(COUNTIFS(Results!$F$2:$F$482,$A9,Results!$A$2:$A$482,BD$4,Results!$G$2:$G$482,"&gt;0")&gt;0,_xlfn.MINIFS(Results!$G$2:$G$482,Results!$F$2:$F$482,$A9,Results!$A$2:$A$482,BD$4,Results!$G$2:$G$482,"&gt;0"),IF(COUNTIFS(Results!$F$2:$F$482,$A9,Results!$A$2:$A$482,BD$4,Results!$H$2:$H$482,"DNF")&gt;0,"DNF","•")))</f>
        <v/>
      </c>
      <c r="BE9" s="20" t="n">
        <f aca="false">IF(COUNTIFS(Results!$F$2:$F$482,$A9,Results!$A$2:$A$482,BE$4)=0,"",IF(COUNTIFS(Results!$F$2:$F$482,$A9,Results!$A$2:$A$482,BE$4,Results!$G$2:$G$482,"&gt;0")&gt;0,_xlfn.MINIFS(Results!$G$2:$G$482,Results!$F$2:$F$482,$A9,Results!$A$2:$A$482,BE$4,Results!$G$2:$G$482,"&gt;0"),IF(COUNTIFS(Results!$F$2:$F$482,$A9,Results!$A$2:$A$482,BE$4,Results!$H$2:$H$482,"DNF")&gt;0,"DNF","•")))</f>
        <v>1</v>
      </c>
      <c r="BF9" s="20" t="str">
        <f aca="false">IF(COUNTIFS(Results!$F$2:$F$482,$A9,Results!$A$2:$A$482,BF$4)=0,"",IF(COUNTIFS(Results!$F$2:$F$482,$A9,Results!$A$2:$A$482,BF$4,Results!$G$2:$G$482,"&gt;0")&gt;0,_xlfn.MINIFS(Results!$G$2:$G$482,Results!$F$2:$F$482,$A9,Results!$A$2:$A$482,BF$4,Results!$G$2:$G$482,"&gt;0"),IF(COUNTIFS(Results!$F$2:$F$482,$A9,Results!$A$2:$A$482,BF$4,Results!$H$2:$H$482,"DNF")&gt;0,"DNF","•")))</f>
        <v/>
      </c>
      <c r="BG9" s="20" t="str">
        <f aca="false">IF(COUNTIFS(Results!$F$2:$F$482,$A9,Results!$A$2:$A$482,BG$4)=0,"",IF(COUNTIFS(Results!$F$2:$F$482,$A9,Results!$A$2:$A$482,BG$4,Results!$G$2:$G$482,"&gt;0")&gt;0,_xlfn.MINIFS(Results!$G$2:$G$482,Results!$F$2:$F$482,$A9,Results!$A$2:$A$482,BG$4,Results!$G$2:$G$482,"&gt;0"),IF(COUNTIFS(Results!$F$2:$F$482,$A9,Results!$A$2:$A$482,BG$4,Results!$H$2:$H$482,"DNF")&gt;0,"DNF","•")))</f>
        <v/>
      </c>
      <c r="BH9" s="20" t="str">
        <f aca="false">IF(COUNTIFS(Results!$F$2:$F$482,$A9,Results!$A$2:$A$482,BH$4)=0,"",IF(COUNTIFS(Results!$F$2:$F$482,$A9,Results!$A$2:$A$482,BH$4,Results!$G$2:$G$482,"&gt;0")&gt;0,_xlfn.MINIFS(Results!$G$2:$G$482,Results!$F$2:$F$482,$A9,Results!$A$2:$A$482,BH$4,Results!$G$2:$G$482,"&gt;0"),IF(COUNTIFS(Results!$F$2:$F$482,$A9,Results!$A$2:$A$482,BH$4,Results!$H$2:$H$482,"DNF")&gt;0,"DNF","•")))</f>
        <v/>
      </c>
      <c r="BI9" s="20" t="str">
        <f aca="false">IF(COUNTIFS(Results!$F$2:$F$482,$A9,Results!$A$2:$A$482,BI$4)=0,"",IF(COUNTIFS(Results!$F$2:$F$482,$A9,Results!$A$2:$A$482,BI$4,Results!$G$2:$G$482,"&gt;0")&gt;0,_xlfn.MINIFS(Results!$G$2:$G$482,Results!$F$2:$F$482,$A9,Results!$A$2:$A$482,BI$4,Results!$G$2:$G$482,"&gt;0"),IF(COUNTIFS(Results!$F$2:$F$482,$A9,Results!$A$2:$A$482,BI$4,Results!$H$2:$H$482,"DNF")&gt;0,"DNF","•")))</f>
        <v/>
      </c>
      <c r="BJ9" s="20" t="str">
        <f aca="false">IF(COUNTIFS(Results!$F$2:$F$482,$A9,Results!$A$2:$A$482,BJ$4)=0,"",IF(COUNTIFS(Results!$F$2:$F$482,$A9,Results!$A$2:$A$482,BJ$4,Results!$G$2:$G$482,"&gt;0")&gt;0,_xlfn.MINIFS(Results!$G$2:$G$482,Results!$F$2:$F$482,$A9,Results!$A$2:$A$482,BJ$4,Results!$G$2:$G$482,"&gt;0"),IF(COUNTIFS(Results!$F$2:$F$482,$A9,Results!$A$2:$A$482,BJ$4,Results!$H$2:$H$482,"DNF")&gt;0,"DNF","•")))</f>
        <v/>
      </c>
      <c r="BK9" s="20" t="str">
        <f aca="false">IF(COUNTIFS(Results!$F$2:$F$482,$A9,Results!$A$2:$A$482,BK$4)=0,"",IF(COUNTIFS(Results!$F$2:$F$482,$A9,Results!$A$2:$A$482,BK$4,Results!$G$2:$G$482,"&gt;0")&gt;0,_xlfn.MINIFS(Results!$G$2:$G$482,Results!$F$2:$F$482,$A9,Results!$A$2:$A$482,BK$4,Results!$G$2:$G$482,"&gt;0"),IF(COUNTIFS(Results!$F$2:$F$482,$A9,Results!$A$2:$A$482,BK$4,Results!$H$2:$H$482,"DNF")&gt;0,"DNF","•")))</f>
        <v/>
      </c>
      <c r="BL9" s="20" t="str">
        <f aca="false">IF(COUNTIFS(Results!$F$2:$F$482,$A9,Results!$A$2:$A$482,BL$4)=0,"",IF(COUNTIFS(Results!$F$2:$F$482,$A9,Results!$A$2:$A$482,BL$4,Results!$G$2:$G$482,"&gt;0")&gt;0,_xlfn.MINIFS(Results!$G$2:$G$482,Results!$F$2:$F$482,$A9,Results!$A$2:$A$482,BL$4,Results!$G$2:$G$482,"&gt;0"),IF(COUNTIFS(Results!$F$2:$F$482,$A9,Results!$A$2:$A$482,BL$4,Results!$H$2:$H$482,"DNF")&gt;0,"DNF","•")))</f>
        <v/>
      </c>
    </row>
    <row r="10" customFormat="false" ht="15" hidden="false" customHeight="false" outlineLevel="0" collapsed="false">
      <c r="A10" s="7" t="str">
        <f aca="false">Riders!A8</f>
        <v>Martyna Szczęsna</v>
      </c>
      <c r="B10" s="20" t="str">
        <f aca="false">IF(COUNTIFS(Results!$F$2:$F$482,$A10,Results!$A$2:$A$482,B$4)=0,"",IF(COUNTIFS(Results!$F$2:$F$482,$A10,Results!$A$2:$A$482,B$4,Results!$G$2:$G$482,"&gt;0")&gt;0,_xlfn.MINIFS(Results!$G$2:$G$482,Results!$F$2:$F$482,$A10,Results!$A$2:$A$482,B$4,Results!$G$2:$G$482,"&gt;0"),IF(COUNTIFS(Results!$F$2:$F$482,$A10,Results!$A$2:$A$482,B$4,Results!$H$2:$H$482,"DNF")&gt;0,"DNF","•")))</f>
        <v/>
      </c>
      <c r="C10" s="20" t="str">
        <f aca="false">IF(COUNTIFS(Results!$F$2:$F$482,$A10,Results!$A$2:$A$482,C$4)=0,"",IF(COUNTIFS(Results!$F$2:$F$482,$A10,Results!$A$2:$A$482,C$4,Results!$G$2:$G$482,"&gt;0")&gt;0,_xlfn.MINIFS(Results!$G$2:$G$482,Results!$F$2:$F$482,$A10,Results!$A$2:$A$482,C$4,Results!$G$2:$G$482,"&gt;0"),IF(COUNTIFS(Results!$F$2:$F$482,$A10,Results!$A$2:$A$482,C$4,Results!$H$2:$H$482,"DNF")&gt;0,"DNF","•")))</f>
        <v/>
      </c>
      <c r="D10" s="20" t="n">
        <f aca="false">IF(COUNTIFS(Results!$F$2:$F$482,$A10,Results!$A$2:$A$482,D$4)=0,"",IF(COUNTIFS(Results!$F$2:$F$482,$A10,Results!$A$2:$A$482,D$4,Results!$G$2:$G$482,"&gt;0")&gt;0,_xlfn.MINIFS(Results!$G$2:$G$482,Results!$F$2:$F$482,$A10,Results!$A$2:$A$482,D$4,Results!$G$2:$G$482,"&gt;0"),IF(COUNTIFS(Results!$F$2:$F$482,$A10,Results!$A$2:$A$482,D$4,Results!$H$2:$H$482,"DNF")&gt;0,"DNF","•")))</f>
        <v>9</v>
      </c>
      <c r="E10" s="20" t="str">
        <f aca="false">IF(COUNTIFS(Results!$F$2:$F$482,$A10,Results!$A$2:$A$482,E$4)=0,"",IF(COUNTIFS(Results!$F$2:$F$482,$A10,Results!$A$2:$A$482,E$4,Results!$G$2:$G$482,"&gt;0")&gt;0,_xlfn.MINIFS(Results!$G$2:$G$482,Results!$F$2:$F$482,$A10,Results!$A$2:$A$482,E$4,Results!$G$2:$G$482,"&gt;0"),IF(COUNTIFS(Results!$F$2:$F$482,$A10,Results!$A$2:$A$482,E$4,Results!$H$2:$H$482,"DNF")&gt;0,"DNF","•")))</f>
        <v/>
      </c>
      <c r="F10" s="20" t="n">
        <f aca="false">IF(COUNTIFS(Results!$F$2:$F$482,$A10,Results!$A$2:$A$482,F$4)=0,"",IF(COUNTIFS(Results!$F$2:$F$482,$A10,Results!$A$2:$A$482,F$4,Results!$G$2:$G$482,"&gt;0")&gt;0,_xlfn.MINIFS(Results!$G$2:$G$482,Results!$F$2:$F$482,$A10,Results!$A$2:$A$482,F$4,Results!$G$2:$G$482,"&gt;0"),IF(COUNTIFS(Results!$F$2:$F$482,$A10,Results!$A$2:$A$482,F$4,Results!$H$2:$H$482,"DNF")&gt;0,"DNF","•")))</f>
        <v>41</v>
      </c>
      <c r="G10" s="20" t="n">
        <f aca="false">IF(COUNTIFS(Results!$F$2:$F$482,$A10,Results!$A$2:$A$482,G$4)=0,"",IF(COUNTIFS(Results!$F$2:$F$482,$A10,Results!$A$2:$A$482,G$4,Results!$G$2:$G$482,"&gt;0")&gt;0,_xlfn.MINIFS(Results!$G$2:$G$482,Results!$F$2:$F$482,$A10,Results!$A$2:$A$482,G$4,Results!$G$2:$G$482,"&gt;0"),IF(COUNTIFS(Results!$F$2:$F$482,$A10,Results!$A$2:$A$482,G$4,Results!$H$2:$H$482,"DNF")&gt;0,"DNF","•")))</f>
        <v>33</v>
      </c>
      <c r="H10" s="20" t="str">
        <f aca="false">IF(COUNTIFS(Results!$F$2:$F$482,$A10,Results!$A$2:$A$482,H$4)=0,"",IF(COUNTIFS(Results!$F$2:$F$482,$A10,Results!$A$2:$A$482,H$4,Results!$G$2:$G$482,"&gt;0")&gt;0,_xlfn.MINIFS(Results!$G$2:$G$482,Results!$F$2:$F$482,$A10,Results!$A$2:$A$482,H$4,Results!$G$2:$G$482,"&gt;0"),IF(COUNTIFS(Results!$F$2:$F$482,$A10,Results!$A$2:$A$482,H$4,Results!$H$2:$H$482,"DNF")&gt;0,"DNF","•")))</f>
        <v/>
      </c>
      <c r="I10" s="20" t="str">
        <f aca="false">IF(COUNTIFS(Results!$F$2:$F$482,$A10,Results!$A$2:$A$482,I$4)=0,"",IF(COUNTIFS(Results!$F$2:$F$482,$A10,Results!$A$2:$A$482,I$4,Results!$G$2:$G$482,"&gt;0")&gt;0,_xlfn.MINIFS(Results!$G$2:$G$482,Results!$F$2:$F$482,$A10,Results!$A$2:$A$482,I$4,Results!$G$2:$G$482,"&gt;0"),IF(COUNTIFS(Results!$F$2:$F$482,$A10,Results!$A$2:$A$482,I$4,Results!$H$2:$H$482,"DNF")&gt;0,"DNF","•")))</f>
        <v/>
      </c>
      <c r="J10" s="20" t="str">
        <f aca="false">IF(COUNTIFS(Results!$F$2:$F$482,$A10,Results!$A$2:$A$482,J$4)=0,"",IF(COUNTIFS(Results!$F$2:$F$482,$A10,Results!$A$2:$A$482,J$4,Results!$G$2:$G$482,"&gt;0")&gt;0,_xlfn.MINIFS(Results!$G$2:$G$482,Results!$F$2:$F$482,$A10,Results!$A$2:$A$482,J$4,Results!$G$2:$G$482,"&gt;0"),IF(COUNTIFS(Results!$F$2:$F$482,$A10,Results!$A$2:$A$482,J$4,Results!$H$2:$H$482,"DNF")&gt;0,"DNF","•")))</f>
        <v/>
      </c>
      <c r="K10" s="20" t="str">
        <f aca="false">IF(COUNTIFS(Results!$F$2:$F$482,$A10,Results!$A$2:$A$482,K$4)=0,"",IF(COUNTIFS(Results!$F$2:$F$482,$A10,Results!$A$2:$A$482,K$4,Results!$G$2:$G$482,"&gt;0")&gt;0,_xlfn.MINIFS(Results!$G$2:$G$482,Results!$F$2:$F$482,$A10,Results!$A$2:$A$482,K$4,Results!$G$2:$G$482,"&gt;0"),IF(COUNTIFS(Results!$F$2:$F$482,$A10,Results!$A$2:$A$482,K$4,Results!$H$2:$H$482,"DNF")&gt;0,"DNF","•")))</f>
        <v/>
      </c>
      <c r="L10" s="20" t="n">
        <f aca="false">IF(COUNTIFS(Results!$F$2:$F$482,$A10,Results!$A$2:$A$482,L$4)=0,"",IF(COUNTIFS(Results!$F$2:$F$482,$A10,Results!$A$2:$A$482,L$4,Results!$G$2:$G$482,"&gt;0")&gt;0,_xlfn.MINIFS(Results!$G$2:$G$482,Results!$F$2:$F$482,$A10,Results!$A$2:$A$482,L$4,Results!$G$2:$G$482,"&gt;0"),IF(COUNTIFS(Results!$F$2:$F$482,$A10,Results!$A$2:$A$482,L$4,Results!$H$2:$H$482,"DNF")&gt;0,"DNF","•")))</f>
        <v>34</v>
      </c>
      <c r="M10" s="20" t="str">
        <f aca="false">IF(COUNTIFS(Results!$F$2:$F$482,$A10,Results!$A$2:$A$482,M$4)=0,"",IF(COUNTIFS(Results!$F$2:$F$482,$A10,Results!$A$2:$A$482,M$4,Results!$G$2:$G$482,"&gt;0")&gt;0,_xlfn.MINIFS(Results!$G$2:$G$482,Results!$F$2:$F$482,$A10,Results!$A$2:$A$482,M$4,Results!$G$2:$G$482,"&gt;0"),IF(COUNTIFS(Results!$F$2:$F$482,$A10,Results!$A$2:$A$482,M$4,Results!$H$2:$H$482,"DNF")&gt;0,"DNF","•")))</f>
        <v>DNF</v>
      </c>
      <c r="N10" s="20" t="str">
        <f aca="false">IF(COUNTIFS(Results!$F$2:$F$482,$A10,Results!$A$2:$A$482,N$4)=0,"",IF(COUNTIFS(Results!$F$2:$F$482,$A10,Results!$A$2:$A$482,N$4,Results!$G$2:$G$482,"&gt;0")&gt;0,_xlfn.MINIFS(Results!$G$2:$G$482,Results!$F$2:$F$482,$A10,Results!$A$2:$A$482,N$4,Results!$G$2:$G$482,"&gt;0"),IF(COUNTIFS(Results!$F$2:$F$482,$A10,Results!$A$2:$A$482,N$4,Results!$H$2:$H$482,"DNF")&gt;0,"DNF","•")))</f>
        <v/>
      </c>
      <c r="O10" s="20" t="str">
        <f aca="false">IF(COUNTIFS(Results!$F$2:$F$482,$A10,Results!$A$2:$A$482,O$4)=0,"",IF(COUNTIFS(Results!$F$2:$F$482,$A10,Results!$A$2:$A$482,O$4,Results!$G$2:$G$482,"&gt;0")&gt;0,_xlfn.MINIFS(Results!$G$2:$G$482,Results!$F$2:$F$482,$A10,Results!$A$2:$A$482,O$4,Results!$G$2:$G$482,"&gt;0"),IF(COUNTIFS(Results!$F$2:$F$482,$A10,Results!$A$2:$A$482,O$4,Results!$H$2:$H$482,"DNF")&gt;0,"DNF","•")))</f>
        <v/>
      </c>
      <c r="P10" s="20" t="n">
        <f aca="false">IF(COUNTIFS(Results!$F$2:$F$482,$A10,Results!$A$2:$A$482,P$4)=0,"",IF(COUNTIFS(Results!$F$2:$F$482,$A10,Results!$A$2:$A$482,P$4,Results!$G$2:$G$482,"&gt;0")&gt;0,_xlfn.MINIFS(Results!$G$2:$G$482,Results!$F$2:$F$482,$A10,Results!$A$2:$A$482,P$4,Results!$G$2:$G$482,"&gt;0"),IF(COUNTIFS(Results!$F$2:$F$482,$A10,Results!$A$2:$A$482,P$4,Results!$H$2:$H$482,"DNF")&gt;0,"DNF","•")))</f>
        <v>9</v>
      </c>
      <c r="Q10" s="20" t="str">
        <f aca="false">IF(COUNTIFS(Results!$F$2:$F$482,$A10,Results!$A$2:$A$482,Q$4)=0,"",IF(COUNTIFS(Results!$F$2:$F$482,$A10,Results!$A$2:$A$482,Q$4,Results!$G$2:$G$482,"&gt;0")&gt;0,_xlfn.MINIFS(Results!$G$2:$G$482,Results!$F$2:$F$482,$A10,Results!$A$2:$A$482,Q$4,Results!$G$2:$G$482,"&gt;0"),IF(COUNTIFS(Results!$F$2:$F$482,$A10,Results!$A$2:$A$482,Q$4,Results!$H$2:$H$482,"DNF")&gt;0,"DNF","•")))</f>
        <v/>
      </c>
      <c r="R10" s="20" t="str">
        <f aca="false">IF(COUNTIFS(Results!$F$2:$F$482,$A10,Results!$A$2:$A$482,R$4)=0,"",IF(COUNTIFS(Results!$F$2:$F$482,$A10,Results!$A$2:$A$482,R$4,Results!$G$2:$G$482,"&gt;0")&gt;0,_xlfn.MINIFS(Results!$G$2:$G$482,Results!$F$2:$F$482,$A10,Results!$A$2:$A$482,R$4,Results!$G$2:$G$482,"&gt;0"),IF(COUNTIFS(Results!$F$2:$F$482,$A10,Results!$A$2:$A$482,R$4,Results!$H$2:$H$482,"DNF")&gt;0,"DNF","•")))</f>
        <v/>
      </c>
      <c r="S10" s="20" t="n">
        <f aca="false">IF(COUNTIFS(Results!$F$2:$F$482,$A10,Results!$A$2:$A$482,S$4)=0,"",IF(COUNTIFS(Results!$F$2:$F$482,$A10,Results!$A$2:$A$482,S$4,Results!$G$2:$G$482,"&gt;0")&gt;0,_xlfn.MINIFS(Results!$G$2:$G$482,Results!$F$2:$F$482,$A10,Results!$A$2:$A$482,S$4,Results!$G$2:$G$482,"&gt;0"),IF(COUNTIFS(Results!$F$2:$F$482,$A10,Results!$A$2:$A$482,S$4,Results!$H$2:$H$482,"DNF")&gt;0,"DNF","•")))</f>
        <v>8</v>
      </c>
      <c r="T10" s="20" t="str">
        <f aca="false">IF(COUNTIFS(Results!$F$2:$F$482,$A10,Results!$A$2:$A$482,T$4)=0,"",IF(COUNTIFS(Results!$F$2:$F$482,$A10,Results!$A$2:$A$482,T$4,Results!$G$2:$G$482,"&gt;0")&gt;0,_xlfn.MINIFS(Results!$G$2:$G$482,Results!$F$2:$F$482,$A10,Results!$A$2:$A$482,T$4,Results!$G$2:$G$482,"&gt;0"),IF(COUNTIFS(Results!$F$2:$F$482,$A10,Results!$A$2:$A$482,T$4,Results!$H$2:$H$482,"DNF")&gt;0,"DNF","•")))</f>
        <v/>
      </c>
      <c r="U10" s="20" t="n">
        <f aca="false">IF(COUNTIFS(Results!$F$2:$F$482,$A10,Results!$A$2:$A$482,U$4)=0,"",IF(COUNTIFS(Results!$F$2:$F$482,$A10,Results!$A$2:$A$482,U$4,Results!$G$2:$G$482,"&gt;0")&gt;0,_xlfn.MINIFS(Results!$G$2:$G$482,Results!$F$2:$F$482,$A10,Results!$A$2:$A$482,U$4,Results!$G$2:$G$482,"&gt;0"),IF(COUNTIFS(Results!$F$2:$F$482,$A10,Results!$A$2:$A$482,U$4,Results!$H$2:$H$482,"DNF")&gt;0,"DNF","•")))</f>
        <v>10</v>
      </c>
      <c r="V10" s="20" t="str">
        <f aca="false">IF(COUNTIFS(Results!$F$2:$F$482,$A10,Results!$A$2:$A$482,V$4)=0,"",IF(COUNTIFS(Results!$F$2:$F$482,$A10,Results!$A$2:$A$482,V$4,Results!$G$2:$G$482,"&gt;0")&gt;0,_xlfn.MINIFS(Results!$G$2:$G$482,Results!$F$2:$F$482,$A10,Results!$A$2:$A$482,V$4,Results!$G$2:$G$482,"&gt;0"),IF(COUNTIFS(Results!$F$2:$F$482,$A10,Results!$A$2:$A$482,V$4,Results!$H$2:$H$482,"DNF")&gt;0,"DNF","•")))</f>
        <v/>
      </c>
      <c r="W10" s="20" t="str">
        <f aca="false">IF(COUNTIFS(Results!$F$2:$F$482,$A10,Results!$A$2:$A$482,W$4)=0,"",IF(COUNTIFS(Results!$F$2:$F$482,$A10,Results!$A$2:$A$482,W$4,Results!$G$2:$G$482,"&gt;0")&gt;0,_xlfn.MINIFS(Results!$G$2:$G$482,Results!$F$2:$F$482,$A10,Results!$A$2:$A$482,W$4,Results!$G$2:$G$482,"&gt;0"),IF(COUNTIFS(Results!$F$2:$F$482,$A10,Results!$A$2:$A$482,W$4,Results!$H$2:$H$482,"DNF")&gt;0,"DNF","•")))</f>
        <v/>
      </c>
      <c r="X10" s="20" t="str">
        <f aca="false">IF(COUNTIFS(Results!$F$2:$F$482,$A10,Results!$A$2:$A$482,X$4)=0,"",IF(COUNTIFS(Results!$F$2:$F$482,$A10,Results!$A$2:$A$482,X$4,Results!$G$2:$G$482,"&gt;0")&gt;0,_xlfn.MINIFS(Results!$G$2:$G$482,Results!$F$2:$F$482,$A10,Results!$A$2:$A$482,X$4,Results!$G$2:$G$482,"&gt;0"),IF(COUNTIFS(Results!$F$2:$F$482,$A10,Results!$A$2:$A$482,X$4,Results!$H$2:$H$482,"DNF")&gt;0,"DNF","•")))</f>
        <v/>
      </c>
      <c r="Y10" s="20" t="str">
        <f aca="false">IF(COUNTIFS(Results!$F$2:$F$482,$A10,Results!$A$2:$A$482,Y$4)=0,"",IF(COUNTIFS(Results!$F$2:$F$482,$A10,Results!$A$2:$A$482,Y$4,Results!$G$2:$G$482,"&gt;0")&gt;0,_xlfn.MINIFS(Results!$G$2:$G$482,Results!$F$2:$F$482,$A10,Results!$A$2:$A$482,Y$4,Results!$G$2:$G$482,"&gt;0"),IF(COUNTIFS(Results!$F$2:$F$482,$A10,Results!$A$2:$A$482,Y$4,Results!$H$2:$H$482,"DNF")&gt;0,"DNF","•")))</f>
        <v/>
      </c>
      <c r="Z10" s="20" t="n">
        <f aca="false">IF(COUNTIFS(Results!$F$2:$F$482,$A10,Results!$A$2:$A$482,Z$4)=0,"",IF(COUNTIFS(Results!$F$2:$F$482,$A10,Results!$A$2:$A$482,Z$4,Results!$G$2:$G$482,"&gt;0")&gt;0,_xlfn.MINIFS(Results!$G$2:$G$482,Results!$F$2:$F$482,$A10,Results!$A$2:$A$482,Z$4,Results!$G$2:$G$482,"&gt;0"),IF(COUNTIFS(Results!$F$2:$F$482,$A10,Results!$A$2:$A$482,Z$4,Results!$H$2:$H$482,"DNF")&gt;0,"DNF","•")))</f>
        <v>7</v>
      </c>
      <c r="AA10" s="20" t="str">
        <f aca="false">IF(COUNTIFS(Results!$F$2:$F$482,$A10,Results!$A$2:$A$482,AA$4)=0,"",IF(COUNTIFS(Results!$F$2:$F$482,$A10,Results!$A$2:$A$482,AA$4,Results!$G$2:$G$482,"&gt;0")&gt;0,_xlfn.MINIFS(Results!$G$2:$G$482,Results!$F$2:$F$482,$A10,Results!$A$2:$A$482,AA$4,Results!$G$2:$G$482,"&gt;0"),IF(COUNTIFS(Results!$F$2:$F$482,$A10,Results!$A$2:$A$482,AA$4,Results!$H$2:$H$482,"DNF")&gt;0,"DNF","•")))</f>
        <v/>
      </c>
      <c r="AB10" s="20" t="str">
        <f aca="false">IF(COUNTIFS(Results!$F$2:$F$482,$A10,Results!$A$2:$A$482,AB$4)=0,"",IF(COUNTIFS(Results!$F$2:$F$482,$A10,Results!$A$2:$A$482,AB$4,Results!$G$2:$G$482,"&gt;0")&gt;0,_xlfn.MINIFS(Results!$G$2:$G$482,Results!$F$2:$F$482,$A10,Results!$A$2:$A$482,AB$4,Results!$G$2:$G$482,"&gt;0"),IF(COUNTIFS(Results!$F$2:$F$482,$A10,Results!$A$2:$A$482,AB$4,Results!$H$2:$H$482,"DNF")&gt;0,"DNF","•")))</f>
        <v/>
      </c>
      <c r="AC10" s="20" t="str">
        <f aca="false">IF(COUNTIFS(Results!$F$2:$F$482,$A10,Results!$A$2:$A$482,AC$4)=0,"",IF(COUNTIFS(Results!$F$2:$F$482,$A10,Results!$A$2:$A$482,AC$4,Results!$G$2:$G$482,"&gt;0")&gt;0,_xlfn.MINIFS(Results!$G$2:$G$482,Results!$F$2:$F$482,$A10,Results!$A$2:$A$482,AC$4,Results!$G$2:$G$482,"&gt;0"),IF(COUNTIFS(Results!$F$2:$F$482,$A10,Results!$A$2:$A$482,AC$4,Results!$H$2:$H$482,"DNF")&gt;0,"DNF","•")))</f>
        <v/>
      </c>
      <c r="AD10" s="20" t="str">
        <f aca="false">IF(COUNTIFS(Results!$F$2:$F$482,$A10,Results!$A$2:$A$482,AD$4)=0,"",IF(COUNTIFS(Results!$F$2:$F$482,$A10,Results!$A$2:$A$482,AD$4,Results!$G$2:$G$482,"&gt;0")&gt;0,_xlfn.MINIFS(Results!$G$2:$G$482,Results!$F$2:$F$482,$A10,Results!$A$2:$A$482,AD$4,Results!$G$2:$G$482,"&gt;0"),IF(COUNTIFS(Results!$F$2:$F$482,$A10,Results!$A$2:$A$482,AD$4,Results!$H$2:$H$482,"DNF")&gt;0,"DNF","•")))</f>
        <v/>
      </c>
      <c r="AE10" s="20" t="str">
        <f aca="false">IF(COUNTIFS(Results!$F$2:$F$482,$A10,Results!$A$2:$A$482,AE$4)=0,"",IF(COUNTIFS(Results!$F$2:$F$482,$A10,Results!$A$2:$A$482,AE$4,Results!$G$2:$G$482,"&gt;0")&gt;0,_xlfn.MINIFS(Results!$G$2:$G$482,Results!$F$2:$F$482,$A10,Results!$A$2:$A$482,AE$4,Results!$G$2:$G$482,"&gt;0"),IF(COUNTIFS(Results!$F$2:$F$482,$A10,Results!$A$2:$A$482,AE$4,Results!$H$2:$H$482,"DNF")&gt;0,"DNF","•")))</f>
        <v/>
      </c>
      <c r="AF10" s="20" t="n">
        <f aca="false">IF(COUNTIFS(Results!$F$2:$F$482,$A10,Results!$A$2:$A$482,AF$4)=0,"",IF(COUNTIFS(Results!$F$2:$F$482,$A10,Results!$A$2:$A$482,AF$4,Results!$G$2:$G$482,"&gt;0")&gt;0,_xlfn.MINIFS(Results!$G$2:$G$482,Results!$F$2:$F$482,$A10,Results!$A$2:$A$482,AF$4,Results!$G$2:$G$482,"&gt;0"),IF(COUNTIFS(Results!$F$2:$F$482,$A10,Results!$A$2:$A$482,AF$4,Results!$H$2:$H$482,"DNF")&gt;0,"DNF","•")))</f>
        <v>22</v>
      </c>
      <c r="AG10" s="20" t="str">
        <f aca="false">IF(COUNTIFS(Results!$F$2:$F$482,$A10,Results!$A$2:$A$482,AG$4)=0,"",IF(COUNTIFS(Results!$F$2:$F$482,$A10,Results!$A$2:$A$482,AG$4,Results!$G$2:$G$482,"&gt;0")&gt;0,_xlfn.MINIFS(Results!$G$2:$G$482,Results!$F$2:$F$482,$A10,Results!$A$2:$A$482,AG$4,Results!$G$2:$G$482,"&gt;0"),IF(COUNTIFS(Results!$F$2:$F$482,$A10,Results!$A$2:$A$482,AG$4,Results!$H$2:$H$482,"DNF")&gt;0,"DNF","•")))</f>
        <v/>
      </c>
      <c r="AH10" s="20" t="str">
        <f aca="false">IF(COUNTIFS(Results!$F$2:$F$482,$A10,Results!$A$2:$A$482,AH$4)=0,"",IF(COUNTIFS(Results!$F$2:$F$482,$A10,Results!$A$2:$A$482,AH$4,Results!$G$2:$G$482,"&gt;0")&gt;0,_xlfn.MINIFS(Results!$G$2:$G$482,Results!$F$2:$F$482,$A10,Results!$A$2:$A$482,AH$4,Results!$G$2:$G$482,"&gt;0"),IF(COUNTIFS(Results!$F$2:$F$482,$A10,Results!$A$2:$A$482,AH$4,Results!$H$2:$H$482,"DNF")&gt;0,"DNF","•")))</f>
        <v/>
      </c>
      <c r="AI10" s="20" t="str">
        <f aca="false">IF(COUNTIFS(Results!$F$2:$F$482,$A10,Results!$A$2:$A$482,AI$4)=0,"",IF(COUNTIFS(Results!$F$2:$F$482,$A10,Results!$A$2:$A$482,AI$4,Results!$G$2:$G$482,"&gt;0")&gt;0,_xlfn.MINIFS(Results!$G$2:$G$482,Results!$F$2:$F$482,$A10,Results!$A$2:$A$482,AI$4,Results!$G$2:$G$482,"&gt;0"),IF(COUNTIFS(Results!$F$2:$F$482,$A10,Results!$A$2:$A$482,AI$4,Results!$H$2:$H$482,"DNF")&gt;0,"DNF","•")))</f>
        <v/>
      </c>
      <c r="AJ10" s="20" t="n">
        <f aca="false">IF(COUNTIFS(Results!$F$2:$F$482,$A10,Results!$A$2:$A$482,AJ$4)=0,"",IF(COUNTIFS(Results!$F$2:$F$482,$A10,Results!$A$2:$A$482,AJ$4,Results!$G$2:$G$482,"&gt;0")&gt;0,_xlfn.MINIFS(Results!$G$2:$G$482,Results!$F$2:$F$482,$A10,Results!$A$2:$A$482,AJ$4,Results!$G$2:$G$482,"&gt;0"),IF(COUNTIFS(Results!$F$2:$F$482,$A10,Results!$A$2:$A$482,AJ$4,Results!$H$2:$H$482,"DNF")&gt;0,"DNF","•")))</f>
        <v>5</v>
      </c>
      <c r="AK10" s="20" t="str">
        <f aca="false">IF(COUNTIFS(Results!$F$2:$F$482,$A10,Results!$A$2:$A$482,AK$4)=0,"",IF(COUNTIFS(Results!$F$2:$F$482,$A10,Results!$A$2:$A$482,AK$4,Results!$G$2:$G$482,"&gt;0")&gt;0,_xlfn.MINIFS(Results!$G$2:$G$482,Results!$F$2:$F$482,$A10,Results!$A$2:$A$482,AK$4,Results!$G$2:$G$482,"&gt;0"),IF(COUNTIFS(Results!$F$2:$F$482,$A10,Results!$A$2:$A$482,AK$4,Results!$H$2:$H$482,"DNF")&gt;0,"DNF","•")))</f>
        <v/>
      </c>
      <c r="AL10" s="20" t="str">
        <f aca="false">IF(COUNTIFS(Results!$F$2:$F$482,$A10,Results!$A$2:$A$482,AL$4)=0,"",IF(COUNTIFS(Results!$F$2:$F$482,$A10,Results!$A$2:$A$482,AL$4,Results!$G$2:$G$482,"&gt;0")&gt;0,_xlfn.MINIFS(Results!$G$2:$G$482,Results!$F$2:$F$482,$A10,Results!$A$2:$A$482,AL$4,Results!$G$2:$G$482,"&gt;0"),IF(COUNTIFS(Results!$F$2:$F$482,$A10,Results!$A$2:$A$482,AL$4,Results!$H$2:$H$482,"DNF")&gt;0,"DNF","•")))</f>
        <v/>
      </c>
      <c r="AM10" s="20" t="n">
        <f aca="false">IF(COUNTIFS(Results!$F$2:$F$482,$A10,Results!$A$2:$A$482,AM$4)=0,"",IF(COUNTIFS(Results!$F$2:$F$482,$A10,Results!$A$2:$A$482,AM$4,Results!$G$2:$G$482,"&gt;0")&gt;0,_xlfn.MINIFS(Results!$G$2:$G$482,Results!$F$2:$F$482,$A10,Results!$A$2:$A$482,AM$4,Results!$G$2:$G$482,"&gt;0"),IF(COUNTIFS(Results!$F$2:$F$482,$A10,Results!$A$2:$A$482,AM$4,Results!$H$2:$H$482,"DNF")&gt;0,"DNF","•")))</f>
        <v>3</v>
      </c>
      <c r="AN10" s="20" t="str">
        <f aca="false">IF(COUNTIFS(Results!$F$2:$F$482,$A10,Results!$A$2:$A$482,AN$4)=0,"",IF(COUNTIFS(Results!$F$2:$F$482,$A10,Results!$A$2:$A$482,AN$4,Results!$G$2:$G$482,"&gt;0")&gt;0,_xlfn.MINIFS(Results!$G$2:$G$482,Results!$F$2:$F$482,$A10,Results!$A$2:$A$482,AN$4,Results!$G$2:$G$482,"&gt;0"),IF(COUNTIFS(Results!$F$2:$F$482,$A10,Results!$A$2:$A$482,AN$4,Results!$H$2:$H$482,"DNF")&gt;0,"DNF","•")))</f>
        <v/>
      </c>
      <c r="AO10" s="20" t="str">
        <f aca="false">IF(COUNTIFS(Results!$F$2:$F$482,$A10,Results!$A$2:$A$482,AO$4)=0,"",IF(COUNTIFS(Results!$F$2:$F$482,$A10,Results!$A$2:$A$482,AO$4,Results!$G$2:$G$482,"&gt;0")&gt;0,_xlfn.MINIFS(Results!$G$2:$G$482,Results!$F$2:$F$482,$A10,Results!$A$2:$A$482,AO$4,Results!$G$2:$G$482,"&gt;0"),IF(COUNTIFS(Results!$F$2:$F$482,$A10,Results!$A$2:$A$482,AO$4,Results!$H$2:$H$482,"DNF")&gt;0,"DNF","•")))</f>
        <v/>
      </c>
      <c r="AP10" s="20" t="str">
        <f aca="false">IF(COUNTIFS(Results!$F$2:$F$482,$A10,Results!$A$2:$A$482,AP$4)=0,"",IF(COUNTIFS(Results!$F$2:$F$482,$A10,Results!$A$2:$A$482,AP$4,Results!$G$2:$G$482,"&gt;0")&gt;0,_xlfn.MINIFS(Results!$G$2:$G$482,Results!$F$2:$F$482,$A10,Results!$A$2:$A$482,AP$4,Results!$G$2:$G$482,"&gt;0"),IF(COUNTIFS(Results!$F$2:$F$482,$A10,Results!$A$2:$A$482,AP$4,Results!$H$2:$H$482,"DNF")&gt;0,"DNF","•")))</f>
        <v/>
      </c>
      <c r="AQ10" s="20" t="n">
        <f aca="false">IF(COUNTIFS(Results!$F$2:$F$482,$A10,Results!$A$2:$A$482,AQ$4)=0,"",IF(COUNTIFS(Results!$F$2:$F$482,$A10,Results!$A$2:$A$482,AQ$4,Results!$G$2:$G$482,"&gt;0")&gt;0,_xlfn.MINIFS(Results!$G$2:$G$482,Results!$F$2:$F$482,$A10,Results!$A$2:$A$482,AQ$4,Results!$G$2:$G$482,"&gt;0"),IF(COUNTIFS(Results!$F$2:$F$482,$A10,Results!$A$2:$A$482,AQ$4,Results!$H$2:$H$482,"DNF")&gt;0,"DNF","•")))</f>
        <v>17</v>
      </c>
      <c r="AR10" s="20" t="str">
        <f aca="false">IF(COUNTIFS(Results!$F$2:$F$482,$A10,Results!$A$2:$A$482,AR$4)=0,"",IF(COUNTIFS(Results!$F$2:$F$482,$A10,Results!$A$2:$A$482,AR$4,Results!$G$2:$G$482,"&gt;0")&gt;0,_xlfn.MINIFS(Results!$G$2:$G$482,Results!$F$2:$F$482,$A10,Results!$A$2:$A$482,AR$4,Results!$G$2:$G$482,"&gt;0"),IF(COUNTIFS(Results!$F$2:$F$482,$A10,Results!$A$2:$A$482,AR$4,Results!$H$2:$H$482,"DNF")&gt;0,"DNF","•")))</f>
        <v/>
      </c>
      <c r="AS10" s="20" t="str">
        <f aca="false">IF(COUNTIFS(Results!$F$2:$F$482,$A10,Results!$A$2:$A$482,AS$4)=0,"",IF(COUNTIFS(Results!$F$2:$F$482,$A10,Results!$A$2:$A$482,AS$4,Results!$G$2:$G$482,"&gt;0")&gt;0,_xlfn.MINIFS(Results!$G$2:$G$482,Results!$F$2:$F$482,$A10,Results!$A$2:$A$482,AS$4,Results!$G$2:$G$482,"&gt;0"),IF(COUNTIFS(Results!$F$2:$F$482,$A10,Results!$A$2:$A$482,AS$4,Results!$H$2:$H$482,"DNF")&gt;0,"DNF","•")))</f>
        <v/>
      </c>
      <c r="AT10" s="20" t="str">
        <f aca="false">IF(COUNTIFS(Results!$F$2:$F$482,$A10,Results!$A$2:$A$482,AT$4)=0,"",IF(COUNTIFS(Results!$F$2:$F$482,$A10,Results!$A$2:$A$482,AT$4,Results!$G$2:$G$482,"&gt;0")&gt;0,_xlfn.MINIFS(Results!$G$2:$G$482,Results!$F$2:$F$482,$A10,Results!$A$2:$A$482,AT$4,Results!$G$2:$G$482,"&gt;0"),IF(COUNTIFS(Results!$F$2:$F$482,$A10,Results!$A$2:$A$482,AT$4,Results!$H$2:$H$482,"DNF")&gt;0,"DNF","•")))</f>
        <v/>
      </c>
      <c r="AU10" s="20" t="n">
        <f aca="false">IF(COUNTIFS(Results!$F$2:$F$482,$A10,Results!$A$2:$A$482,AU$4)=0,"",IF(COUNTIFS(Results!$F$2:$F$482,$A10,Results!$A$2:$A$482,AU$4,Results!$G$2:$G$482,"&gt;0")&gt;0,_xlfn.MINIFS(Results!$G$2:$G$482,Results!$F$2:$F$482,$A10,Results!$A$2:$A$482,AU$4,Results!$G$2:$G$482,"&gt;0"),IF(COUNTIFS(Results!$F$2:$F$482,$A10,Results!$A$2:$A$482,AU$4,Results!$H$2:$H$482,"DNF")&gt;0,"DNF","•")))</f>
        <v>1</v>
      </c>
      <c r="AV10" s="20" t="n">
        <f aca="false">IF(COUNTIFS(Results!$F$2:$F$482,$A10,Results!$A$2:$A$482,AV$4)=0,"",IF(COUNTIFS(Results!$F$2:$F$482,$A10,Results!$A$2:$A$482,AV$4,Results!$G$2:$G$482,"&gt;0")&gt;0,_xlfn.MINIFS(Results!$G$2:$G$482,Results!$F$2:$F$482,$A10,Results!$A$2:$A$482,AV$4,Results!$G$2:$G$482,"&gt;0"),IF(COUNTIFS(Results!$F$2:$F$482,$A10,Results!$A$2:$A$482,AV$4,Results!$H$2:$H$482,"DNF")&gt;0,"DNF","•")))</f>
        <v>1</v>
      </c>
      <c r="AW10" s="20" t="str">
        <f aca="false">IF(COUNTIFS(Results!$F$2:$F$482,$A10,Results!$A$2:$A$482,AW$4)=0,"",IF(COUNTIFS(Results!$F$2:$F$482,$A10,Results!$A$2:$A$482,AW$4,Results!$G$2:$G$482,"&gt;0")&gt;0,_xlfn.MINIFS(Results!$G$2:$G$482,Results!$F$2:$F$482,$A10,Results!$A$2:$A$482,AW$4,Results!$G$2:$G$482,"&gt;0"),IF(COUNTIFS(Results!$F$2:$F$482,$A10,Results!$A$2:$A$482,AW$4,Results!$H$2:$H$482,"DNF")&gt;0,"DNF","•")))</f>
        <v/>
      </c>
      <c r="AX10" s="20" t="str">
        <f aca="false">IF(COUNTIFS(Results!$F$2:$F$482,$A10,Results!$A$2:$A$482,AX$4)=0,"",IF(COUNTIFS(Results!$F$2:$F$482,$A10,Results!$A$2:$A$482,AX$4,Results!$G$2:$G$482,"&gt;0")&gt;0,_xlfn.MINIFS(Results!$G$2:$G$482,Results!$F$2:$F$482,$A10,Results!$A$2:$A$482,AX$4,Results!$G$2:$G$482,"&gt;0"),IF(COUNTIFS(Results!$F$2:$F$482,$A10,Results!$A$2:$A$482,AX$4,Results!$H$2:$H$482,"DNF")&gt;0,"DNF","•")))</f>
        <v/>
      </c>
      <c r="AY10" s="20" t="n">
        <f aca="false">IF(COUNTIFS(Results!$F$2:$F$482,$A10,Results!$A$2:$A$482,AY$4)=0,"",IF(COUNTIFS(Results!$F$2:$F$482,$A10,Results!$A$2:$A$482,AY$4,Results!$G$2:$G$482,"&gt;0")&gt;0,_xlfn.MINIFS(Results!$G$2:$G$482,Results!$F$2:$F$482,$A10,Results!$A$2:$A$482,AY$4,Results!$G$2:$G$482,"&gt;0"),IF(COUNTIFS(Results!$F$2:$F$482,$A10,Results!$A$2:$A$482,AY$4,Results!$H$2:$H$482,"DNF")&gt;0,"DNF","•")))</f>
        <v>35</v>
      </c>
      <c r="AZ10" s="20" t="str">
        <f aca="false">IF(COUNTIFS(Results!$F$2:$F$482,$A10,Results!$A$2:$A$482,AZ$4)=0,"",IF(COUNTIFS(Results!$F$2:$F$482,$A10,Results!$A$2:$A$482,AZ$4,Results!$G$2:$G$482,"&gt;0")&gt;0,_xlfn.MINIFS(Results!$G$2:$G$482,Results!$F$2:$F$482,$A10,Results!$A$2:$A$482,AZ$4,Results!$G$2:$G$482,"&gt;0"),IF(COUNTIFS(Results!$F$2:$F$482,$A10,Results!$A$2:$A$482,AZ$4,Results!$H$2:$H$482,"DNF")&gt;0,"DNF","•")))</f>
        <v>DNF</v>
      </c>
      <c r="BA10" s="20" t="str">
        <f aca="false">IF(COUNTIFS(Results!$F$2:$F$482,$A10,Results!$A$2:$A$482,BA$4)=0,"",IF(COUNTIFS(Results!$F$2:$F$482,$A10,Results!$A$2:$A$482,BA$4,Results!$G$2:$G$482,"&gt;0")&gt;0,_xlfn.MINIFS(Results!$G$2:$G$482,Results!$F$2:$F$482,$A10,Results!$A$2:$A$482,BA$4,Results!$G$2:$G$482,"&gt;0"),IF(COUNTIFS(Results!$F$2:$F$482,$A10,Results!$A$2:$A$482,BA$4,Results!$H$2:$H$482,"DNF")&gt;0,"DNF","•")))</f>
        <v/>
      </c>
      <c r="BB10" s="20" t="str">
        <f aca="false">IF(COUNTIFS(Results!$F$2:$F$482,$A10,Results!$A$2:$A$482,BB$4)=0,"",IF(COUNTIFS(Results!$F$2:$F$482,$A10,Results!$A$2:$A$482,BB$4,Results!$G$2:$G$482,"&gt;0")&gt;0,_xlfn.MINIFS(Results!$G$2:$G$482,Results!$F$2:$F$482,$A10,Results!$A$2:$A$482,BB$4,Results!$G$2:$G$482,"&gt;0"),IF(COUNTIFS(Results!$F$2:$F$482,$A10,Results!$A$2:$A$482,BB$4,Results!$H$2:$H$482,"DNF")&gt;0,"DNF","•")))</f>
        <v/>
      </c>
      <c r="BC10" s="20" t="n">
        <f aca="false">IF(COUNTIFS(Results!$F$2:$F$482,$A10,Results!$A$2:$A$482,BC$4)=0,"",IF(COUNTIFS(Results!$F$2:$F$482,$A10,Results!$A$2:$A$482,BC$4,Results!$G$2:$G$482,"&gt;0")&gt;0,_xlfn.MINIFS(Results!$G$2:$G$482,Results!$F$2:$F$482,$A10,Results!$A$2:$A$482,BC$4,Results!$G$2:$G$482,"&gt;0"),IF(COUNTIFS(Results!$F$2:$F$482,$A10,Results!$A$2:$A$482,BC$4,Results!$H$2:$H$482,"DNF")&gt;0,"DNF","•")))</f>
        <v>1</v>
      </c>
      <c r="BD10" s="20" t="str">
        <f aca="false">IF(COUNTIFS(Results!$F$2:$F$482,$A10,Results!$A$2:$A$482,BD$4)=0,"",IF(COUNTIFS(Results!$F$2:$F$482,$A10,Results!$A$2:$A$482,BD$4,Results!$G$2:$G$482,"&gt;0")&gt;0,_xlfn.MINIFS(Results!$G$2:$G$482,Results!$F$2:$F$482,$A10,Results!$A$2:$A$482,BD$4,Results!$G$2:$G$482,"&gt;0"),IF(COUNTIFS(Results!$F$2:$F$482,$A10,Results!$A$2:$A$482,BD$4,Results!$H$2:$H$482,"DNF")&gt;0,"DNF","•")))</f>
        <v/>
      </c>
      <c r="BE10" s="20" t="n">
        <f aca="false">IF(COUNTIFS(Results!$F$2:$F$482,$A10,Results!$A$2:$A$482,BE$4)=0,"",IF(COUNTIFS(Results!$F$2:$F$482,$A10,Results!$A$2:$A$482,BE$4,Results!$G$2:$G$482,"&gt;0")&gt;0,_xlfn.MINIFS(Results!$G$2:$G$482,Results!$F$2:$F$482,$A10,Results!$A$2:$A$482,BE$4,Results!$G$2:$G$482,"&gt;0"),IF(COUNTIFS(Results!$F$2:$F$482,$A10,Results!$A$2:$A$482,BE$4,Results!$H$2:$H$482,"DNF")&gt;0,"DNF","•")))</f>
        <v>1</v>
      </c>
      <c r="BF10" s="20" t="str">
        <f aca="false">IF(COUNTIFS(Results!$F$2:$F$482,$A10,Results!$A$2:$A$482,BF$4)=0,"",IF(COUNTIFS(Results!$F$2:$F$482,$A10,Results!$A$2:$A$482,BF$4,Results!$G$2:$G$482,"&gt;0")&gt;0,_xlfn.MINIFS(Results!$G$2:$G$482,Results!$F$2:$F$482,$A10,Results!$A$2:$A$482,BF$4,Results!$G$2:$G$482,"&gt;0"),IF(COUNTIFS(Results!$F$2:$F$482,$A10,Results!$A$2:$A$482,BF$4,Results!$H$2:$H$482,"DNF")&gt;0,"DNF","•")))</f>
        <v/>
      </c>
      <c r="BG10" s="20" t="n">
        <f aca="false">IF(COUNTIFS(Results!$F$2:$F$482,$A10,Results!$A$2:$A$482,BG$4)=0,"",IF(COUNTIFS(Results!$F$2:$F$482,$A10,Results!$A$2:$A$482,BG$4,Results!$G$2:$G$482,"&gt;0")&gt;0,_xlfn.MINIFS(Results!$G$2:$G$482,Results!$F$2:$F$482,$A10,Results!$A$2:$A$482,BG$4,Results!$G$2:$G$482,"&gt;0"),IF(COUNTIFS(Results!$F$2:$F$482,$A10,Results!$A$2:$A$482,BG$4,Results!$H$2:$H$482,"DNF")&gt;0,"DNF","•")))</f>
        <v>2</v>
      </c>
      <c r="BH10" s="20" t="str">
        <f aca="false">IF(COUNTIFS(Results!$F$2:$F$482,$A10,Results!$A$2:$A$482,BH$4)=0,"",IF(COUNTIFS(Results!$F$2:$F$482,$A10,Results!$A$2:$A$482,BH$4,Results!$G$2:$G$482,"&gt;0")&gt;0,_xlfn.MINIFS(Results!$G$2:$G$482,Results!$F$2:$F$482,$A10,Results!$A$2:$A$482,BH$4,Results!$G$2:$G$482,"&gt;0"),IF(COUNTIFS(Results!$F$2:$F$482,$A10,Results!$A$2:$A$482,BH$4,Results!$H$2:$H$482,"DNF")&gt;0,"DNF","•")))</f>
        <v/>
      </c>
      <c r="BI10" s="20" t="n">
        <f aca="false">IF(COUNTIFS(Results!$F$2:$F$482,$A10,Results!$A$2:$A$482,BI$4)=0,"",IF(COUNTIFS(Results!$F$2:$F$482,$A10,Results!$A$2:$A$482,BI$4,Results!$G$2:$G$482,"&gt;0")&gt;0,_xlfn.MINIFS(Results!$G$2:$G$482,Results!$F$2:$F$482,$A10,Results!$A$2:$A$482,BI$4,Results!$G$2:$G$482,"&gt;0"),IF(COUNTIFS(Results!$F$2:$F$482,$A10,Results!$A$2:$A$482,BI$4,Results!$H$2:$H$482,"DNF")&gt;0,"DNF","•")))</f>
        <v>1</v>
      </c>
      <c r="BJ10" s="20" t="str">
        <f aca="false">IF(COUNTIFS(Results!$F$2:$F$482,$A10,Results!$A$2:$A$482,BJ$4)=0,"",IF(COUNTIFS(Results!$F$2:$F$482,$A10,Results!$A$2:$A$482,BJ$4,Results!$G$2:$G$482,"&gt;0")&gt;0,_xlfn.MINIFS(Results!$G$2:$G$482,Results!$F$2:$F$482,$A10,Results!$A$2:$A$482,BJ$4,Results!$G$2:$G$482,"&gt;0"),IF(COUNTIFS(Results!$F$2:$F$482,$A10,Results!$A$2:$A$482,BJ$4,Results!$H$2:$H$482,"DNF")&gt;0,"DNF","•")))</f>
        <v/>
      </c>
      <c r="BK10" s="20" t="str">
        <f aca="false">IF(COUNTIFS(Results!$F$2:$F$482,$A10,Results!$A$2:$A$482,BK$4)=0,"",IF(COUNTIFS(Results!$F$2:$F$482,$A10,Results!$A$2:$A$482,BK$4,Results!$G$2:$G$482,"&gt;0")&gt;0,_xlfn.MINIFS(Results!$G$2:$G$482,Results!$F$2:$F$482,$A10,Results!$A$2:$A$482,BK$4,Results!$G$2:$G$482,"&gt;0"),IF(COUNTIFS(Results!$F$2:$F$482,$A10,Results!$A$2:$A$482,BK$4,Results!$H$2:$H$482,"DNF")&gt;0,"DNF","•")))</f>
        <v/>
      </c>
      <c r="BL10" s="20" t="str">
        <f aca="false">IF(COUNTIFS(Results!$F$2:$F$482,$A10,Results!$A$2:$A$482,BL$4)=0,"",IF(COUNTIFS(Results!$F$2:$F$482,$A10,Results!$A$2:$A$482,BL$4,Results!$G$2:$G$482,"&gt;0")&gt;0,_xlfn.MINIFS(Results!$G$2:$G$482,Results!$F$2:$F$482,$A10,Results!$A$2:$A$482,BL$4,Results!$G$2:$G$482,"&gt;0"),IF(COUNTIFS(Results!$F$2:$F$482,$A10,Results!$A$2:$A$482,BL$4,Results!$H$2:$H$482,"DNF")&gt;0,"DNF","•")))</f>
        <v/>
      </c>
    </row>
    <row r="11" customFormat="false" ht="15" hidden="false" customHeight="false" outlineLevel="0" collapsed="false">
      <c r="A11" s="7" t="str">
        <f aca="false">Riders!A9</f>
        <v>Eliza Rabażyńska</v>
      </c>
      <c r="B11" s="20" t="str">
        <f aca="false">IF(COUNTIFS(Results!$F$2:$F$482,$A11,Results!$A$2:$A$482,B$4)=0,"",IF(COUNTIFS(Results!$F$2:$F$482,$A11,Results!$A$2:$A$482,B$4,Results!$G$2:$G$482,"&gt;0")&gt;0,_xlfn.MINIFS(Results!$G$2:$G$482,Results!$F$2:$F$482,$A11,Results!$A$2:$A$482,B$4,Results!$G$2:$G$482,"&gt;0"),IF(COUNTIFS(Results!$F$2:$F$482,$A11,Results!$A$2:$A$482,B$4,Results!$H$2:$H$482,"DNF")&gt;0,"DNF","•")))</f>
        <v/>
      </c>
      <c r="C11" s="20" t="str">
        <f aca="false">IF(COUNTIFS(Results!$F$2:$F$482,$A11,Results!$A$2:$A$482,C$4)=0,"",IF(COUNTIFS(Results!$F$2:$F$482,$A11,Results!$A$2:$A$482,C$4,Results!$G$2:$G$482,"&gt;0")&gt;0,_xlfn.MINIFS(Results!$G$2:$G$482,Results!$F$2:$F$482,$A11,Results!$A$2:$A$482,C$4,Results!$G$2:$G$482,"&gt;0"),IF(COUNTIFS(Results!$F$2:$F$482,$A11,Results!$A$2:$A$482,C$4,Results!$H$2:$H$482,"DNF")&gt;0,"DNF","•")))</f>
        <v/>
      </c>
      <c r="D11" s="20" t="n">
        <f aca="false">IF(COUNTIFS(Results!$F$2:$F$482,$A11,Results!$A$2:$A$482,D$4)=0,"",IF(COUNTIFS(Results!$F$2:$F$482,$A11,Results!$A$2:$A$482,D$4,Results!$G$2:$G$482,"&gt;0")&gt;0,_xlfn.MINIFS(Results!$G$2:$G$482,Results!$F$2:$F$482,$A11,Results!$A$2:$A$482,D$4,Results!$G$2:$G$482,"&gt;0"),IF(COUNTIFS(Results!$F$2:$F$482,$A11,Results!$A$2:$A$482,D$4,Results!$H$2:$H$482,"DNF")&gt;0,"DNF","•")))</f>
        <v>9</v>
      </c>
      <c r="E11" s="20" t="str">
        <f aca="false">IF(COUNTIFS(Results!$F$2:$F$482,$A11,Results!$A$2:$A$482,E$4)=0,"",IF(COUNTIFS(Results!$F$2:$F$482,$A11,Results!$A$2:$A$482,E$4,Results!$G$2:$G$482,"&gt;0")&gt;0,_xlfn.MINIFS(Results!$G$2:$G$482,Results!$F$2:$F$482,$A11,Results!$A$2:$A$482,E$4,Results!$G$2:$G$482,"&gt;0"),IF(COUNTIFS(Results!$F$2:$F$482,$A11,Results!$A$2:$A$482,E$4,Results!$H$2:$H$482,"DNF")&gt;0,"DNF","•")))</f>
        <v/>
      </c>
      <c r="F11" s="20" t="str">
        <f aca="false">IF(COUNTIFS(Results!$F$2:$F$482,$A11,Results!$A$2:$A$482,F$4)=0,"",IF(COUNTIFS(Results!$F$2:$F$482,$A11,Results!$A$2:$A$482,F$4,Results!$G$2:$G$482,"&gt;0")&gt;0,_xlfn.MINIFS(Results!$G$2:$G$482,Results!$F$2:$F$482,$A11,Results!$A$2:$A$482,F$4,Results!$G$2:$G$482,"&gt;0"),IF(COUNTIFS(Results!$F$2:$F$482,$A11,Results!$A$2:$A$482,F$4,Results!$H$2:$H$482,"DNF")&gt;0,"DNF","•")))</f>
        <v/>
      </c>
      <c r="G11" s="20" t="str">
        <f aca="false">IF(COUNTIFS(Results!$F$2:$F$482,$A11,Results!$A$2:$A$482,G$4)=0,"",IF(COUNTIFS(Results!$F$2:$F$482,$A11,Results!$A$2:$A$482,G$4,Results!$G$2:$G$482,"&gt;0")&gt;0,_xlfn.MINIFS(Results!$G$2:$G$482,Results!$F$2:$F$482,$A11,Results!$A$2:$A$482,G$4,Results!$G$2:$G$482,"&gt;0"),IF(COUNTIFS(Results!$F$2:$F$482,$A11,Results!$A$2:$A$482,G$4,Results!$H$2:$H$482,"DNF")&gt;0,"DNF","•")))</f>
        <v/>
      </c>
      <c r="H11" s="20" t="str">
        <f aca="false">IF(COUNTIFS(Results!$F$2:$F$482,$A11,Results!$A$2:$A$482,H$4)=0,"",IF(COUNTIFS(Results!$F$2:$F$482,$A11,Results!$A$2:$A$482,H$4,Results!$G$2:$G$482,"&gt;0")&gt;0,_xlfn.MINIFS(Results!$G$2:$G$482,Results!$F$2:$F$482,$A11,Results!$A$2:$A$482,H$4,Results!$G$2:$G$482,"&gt;0"),IF(COUNTIFS(Results!$F$2:$F$482,$A11,Results!$A$2:$A$482,H$4,Results!$H$2:$H$482,"DNF")&gt;0,"DNF","•")))</f>
        <v/>
      </c>
      <c r="I11" s="20" t="n">
        <f aca="false">IF(COUNTIFS(Results!$F$2:$F$482,$A11,Results!$A$2:$A$482,I$4)=0,"",IF(COUNTIFS(Results!$F$2:$F$482,$A11,Results!$A$2:$A$482,I$4,Results!$G$2:$G$482,"&gt;0")&gt;0,_xlfn.MINIFS(Results!$G$2:$G$482,Results!$F$2:$F$482,$A11,Results!$A$2:$A$482,I$4,Results!$G$2:$G$482,"&gt;0"),IF(COUNTIFS(Results!$F$2:$F$482,$A11,Results!$A$2:$A$482,I$4,Results!$H$2:$H$482,"DNF")&gt;0,"DNF","•")))</f>
        <v>93</v>
      </c>
      <c r="J11" s="20" t="str">
        <f aca="false">IF(COUNTIFS(Results!$F$2:$F$482,$A11,Results!$A$2:$A$482,J$4)=0,"",IF(COUNTIFS(Results!$F$2:$F$482,$A11,Results!$A$2:$A$482,J$4,Results!$G$2:$G$482,"&gt;0")&gt;0,_xlfn.MINIFS(Results!$G$2:$G$482,Results!$F$2:$F$482,$A11,Results!$A$2:$A$482,J$4,Results!$G$2:$G$482,"&gt;0"),IF(COUNTIFS(Results!$F$2:$F$482,$A11,Results!$A$2:$A$482,J$4,Results!$H$2:$H$482,"DNF")&gt;0,"DNF","•")))</f>
        <v/>
      </c>
      <c r="K11" s="20" t="str">
        <f aca="false">IF(COUNTIFS(Results!$F$2:$F$482,$A11,Results!$A$2:$A$482,K$4)=0,"",IF(COUNTIFS(Results!$F$2:$F$482,$A11,Results!$A$2:$A$482,K$4,Results!$G$2:$G$482,"&gt;0")&gt;0,_xlfn.MINIFS(Results!$G$2:$G$482,Results!$F$2:$F$482,$A11,Results!$A$2:$A$482,K$4,Results!$G$2:$G$482,"&gt;0"),IF(COUNTIFS(Results!$F$2:$F$482,$A11,Results!$A$2:$A$482,K$4,Results!$H$2:$H$482,"DNF")&gt;0,"DNF","•")))</f>
        <v/>
      </c>
      <c r="L11" s="20" t="str">
        <f aca="false">IF(COUNTIFS(Results!$F$2:$F$482,$A11,Results!$A$2:$A$482,L$4)=0,"",IF(COUNTIFS(Results!$F$2:$F$482,$A11,Results!$A$2:$A$482,L$4,Results!$G$2:$G$482,"&gt;0")&gt;0,_xlfn.MINIFS(Results!$G$2:$G$482,Results!$F$2:$F$482,$A11,Results!$A$2:$A$482,L$4,Results!$G$2:$G$482,"&gt;0"),IF(COUNTIFS(Results!$F$2:$F$482,$A11,Results!$A$2:$A$482,L$4,Results!$H$2:$H$482,"DNF")&gt;0,"DNF","•")))</f>
        <v>DNF</v>
      </c>
      <c r="M11" s="20" t="n">
        <f aca="false">IF(COUNTIFS(Results!$F$2:$F$482,$A11,Results!$A$2:$A$482,M$4)=0,"",IF(COUNTIFS(Results!$F$2:$F$482,$A11,Results!$A$2:$A$482,M$4,Results!$G$2:$G$482,"&gt;0")&gt;0,_xlfn.MINIFS(Results!$G$2:$G$482,Results!$F$2:$F$482,$A11,Results!$A$2:$A$482,M$4,Results!$G$2:$G$482,"&gt;0"),IF(COUNTIFS(Results!$F$2:$F$482,$A11,Results!$A$2:$A$482,M$4,Results!$H$2:$H$482,"DNF")&gt;0,"DNF","•")))</f>
        <v>109</v>
      </c>
      <c r="N11" s="20" t="str">
        <f aca="false">IF(COUNTIFS(Results!$F$2:$F$482,$A11,Results!$A$2:$A$482,N$4)=0,"",IF(COUNTIFS(Results!$F$2:$F$482,$A11,Results!$A$2:$A$482,N$4,Results!$G$2:$G$482,"&gt;0")&gt;0,_xlfn.MINIFS(Results!$G$2:$G$482,Results!$F$2:$F$482,$A11,Results!$A$2:$A$482,N$4,Results!$G$2:$G$482,"&gt;0"),IF(COUNTIFS(Results!$F$2:$F$482,$A11,Results!$A$2:$A$482,N$4,Results!$H$2:$H$482,"DNF")&gt;0,"DNF","•")))</f>
        <v/>
      </c>
      <c r="O11" s="20" t="str">
        <f aca="false">IF(COUNTIFS(Results!$F$2:$F$482,$A11,Results!$A$2:$A$482,O$4)=0,"",IF(COUNTIFS(Results!$F$2:$F$482,$A11,Results!$A$2:$A$482,O$4,Results!$G$2:$G$482,"&gt;0")&gt;0,_xlfn.MINIFS(Results!$G$2:$G$482,Results!$F$2:$F$482,$A11,Results!$A$2:$A$482,O$4,Results!$G$2:$G$482,"&gt;0"),IF(COUNTIFS(Results!$F$2:$F$482,$A11,Results!$A$2:$A$482,O$4,Results!$H$2:$H$482,"DNF")&gt;0,"DNF","•")))</f>
        <v/>
      </c>
      <c r="P11" s="20" t="n">
        <f aca="false">IF(COUNTIFS(Results!$F$2:$F$482,$A11,Results!$A$2:$A$482,P$4)=0,"",IF(COUNTIFS(Results!$F$2:$F$482,$A11,Results!$A$2:$A$482,P$4,Results!$G$2:$G$482,"&gt;0")&gt;0,_xlfn.MINIFS(Results!$G$2:$G$482,Results!$F$2:$F$482,$A11,Results!$A$2:$A$482,P$4,Results!$G$2:$G$482,"&gt;0"),IF(COUNTIFS(Results!$F$2:$F$482,$A11,Results!$A$2:$A$482,P$4,Results!$H$2:$H$482,"DNF")&gt;0,"DNF","•")))</f>
        <v>9</v>
      </c>
      <c r="Q11" s="20" t="str">
        <f aca="false">IF(COUNTIFS(Results!$F$2:$F$482,$A11,Results!$A$2:$A$482,Q$4)=0,"",IF(COUNTIFS(Results!$F$2:$F$482,$A11,Results!$A$2:$A$482,Q$4,Results!$G$2:$G$482,"&gt;0")&gt;0,_xlfn.MINIFS(Results!$G$2:$G$482,Results!$F$2:$F$482,$A11,Results!$A$2:$A$482,Q$4,Results!$G$2:$G$482,"&gt;0"),IF(COUNTIFS(Results!$F$2:$F$482,$A11,Results!$A$2:$A$482,Q$4,Results!$H$2:$H$482,"DNF")&gt;0,"DNF","•")))</f>
        <v/>
      </c>
      <c r="R11" s="20" t="str">
        <f aca="false">IF(COUNTIFS(Results!$F$2:$F$482,$A11,Results!$A$2:$A$482,R$4)=0,"",IF(COUNTIFS(Results!$F$2:$F$482,$A11,Results!$A$2:$A$482,R$4,Results!$G$2:$G$482,"&gt;0")&gt;0,_xlfn.MINIFS(Results!$G$2:$G$482,Results!$F$2:$F$482,$A11,Results!$A$2:$A$482,R$4,Results!$G$2:$G$482,"&gt;0"),IF(COUNTIFS(Results!$F$2:$F$482,$A11,Results!$A$2:$A$482,R$4,Results!$H$2:$H$482,"DNF")&gt;0,"DNF","•")))</f>
        <v/>
      </c>
      <c r="S11" s="20" t="n">
        <f aca="false">IF(COUNTIFS(Results!$F$2:$F$482,$A11,Results!$A$2:$A$482,S$4)=0,"",IF(COUNTIFS(Results!$F$2:$F$482,$A11,Results!$A$2:$A$482,S$4,Results!$G$2:$G$482,"&gt;0")&gt;0,_xlfn.MINIFS(Results!$G$2:$G$482,Results!$F$2:$F$482,$A11,Results!$A$2:$A$482,S$4,Results!$G$2:$G$482,"&gt;0"),IF(COUNTIFS(Results!$F$2:$F$482,$A11,Results!$A$2:$A$482,S$4,Results!$H$2:$H$482,"DNF")&gt;0,"DNF","•")))</f>
        <v>8</v>
      </c>
      <c r="T11" s="20" t="str">
        <f aca="false">IF(COUNTIFS(Results!$F$2:$F$482,$A11,Results!$A$2:$A$482,T$4)=0,"",IF(COUNTIFS(Results!$F$2:$F$482,$A11,Results!$A$2:$A$482,T$4,Results!$G$2:$G$482,"&gt;0")&gt;0,_xlfn.MINIFS(Results!$G$2:$G$482,Results!$F$2:$F$482,$A11,Results!$A$2:$A$482,T$4,Results!$G$2:$G$482,"&gt;0"),IF(COUNTIFS(Results!$F$2:$F$482,$A11,Results!$A$2:$A$482,T$4,Results!$H$2:$H$482,"DNF")&gt;0,"DNF","•")))</f>
        <v/>
      </c>
      <c r="U11" s="20" t="str">
        <f aca="false">IF(COUNTIFS(Results!$F$2:$F$482,$A11,Results!$A$2:$A$482,U$4)=0,"",IF(COUNTIFS(Results!$F$2:$F$482,$A11,Results!$A$2:$A$482,U$4,Results!$G$2:$G$482,"&gt;0")&gt;0,_xlfn.MINIFS(Results!$G$2:$G$482,Results!$F$2:$F$482,$A11,Results!$A$2:$A$482,U$4,Results!$G$2:$G$482,"&gt;0"),IF(COUNTIFS(Results!$F$2:$F$482,$A11,Results!$A$2:$A$482,U$4,Results!$H$2:$H$482,"DNF")&gt;0,"DNF","•")))</f>
        <v/>
      </c>
      <c r="V11" s="20" t="n">
        <f aca="false">IF(COUNTIFS(Results!$F$2:$F$482,$A11,Results!$A$2:$A$482,V$4)=0,"",IF(COUNTIFS(Results!$F$2:$F$482,$A11,Results!$A$2:$A$482,V$4,Results!$G$2:$G$482,"&gt;0")&gt;0,_xlfn.MINIFS(Results!$G$2:$G$482,Results!$F$2:$F$482,$A11,Results!$A$2:$A$482,V$4,Results!$G$2:$G$482,"&gt;0"),IF(COUNTIFS(Results!$F$2:$F$482,$A11,Results!$A$2:$A$482,V$4,Results!$H$2:$H$482,"DNF")&gt;0,"DNF","•")))</f>
        <v>1</v>
      </c>
      <c r="W11" s="20" t="str">
        <f aca="false">IF(COUNTIFS(Results!$F$2:$F$482,$A11,Results!$A$2:$A$482,W$4)=0,"",IF(COUNTIFS(Results!$F$2:$F$482,$A11,Results!$A$2:$A$482,W$4,Results!$G$2:$G$482,"&gt;0")&gt;0,_xlfn.MINIFS(Results!$G$2:$G$482,Results!$F$2:$F$482,$A11,Results!$A$2:$A$482,W$4,Results!$G$2:$G$482,"&gt;0"),IF(COUNTIFS(Results!$F$2:$F$482,$A11,Results!$A$2:$A$482,W$4,Results!$H$2:$H$482,"DNF")&gt;0,"DNF","•")))</f>
        <v/>
      </c>
      <c r="X11" s="20" t="str">
        <f aca="false">IF(COUNTIFS(Results!$F$2:$F$482,$A11,Results!$A$2:$A$482,X$4)=0,"",IF(COUNTIFS(Results!$F$2:$F$482,$A11,Results!$A$2:$A$482,X$4,Results!$G$2:$G$482,"&gt;0")&gt;0,_xlfn.MINIFS(Results!$G$2:$G$482,Results!$F$2:$F$482,$A11,Results!$A$2:$A$482,X$4,Results!$G$2:$G$482,"&gt;0"),IF(COUNTIFS(Results!$F$2:$F$482,$A11,Results!$A$2:$A$482,X$4,Results!$H$2:$H$482,"DNF")&gt;0,"DNF","•")))</f>
        <v/>
      </c>
      <c r="Y11" s="20" t="n">
        <f aca="false">IF(COUNTIFS(Results!$F$2:$F$482,$A11,Results!$A$2:$A$482,Y$4)=0,"",IF(COUNTIFS(Results!$F$2:$F$482,$A11,Results!$A$2:$A$482,Y$4,Results!$G$2:$G$482,"&gt;0")&gt;0,_xlfn.MINIFS(Results!$G$2:$G$482,Results!$F$2:$F$482,$A11,Results!$A$2:$A$482,Y$4,Results!$G$2:$G$482,"&gt;0"),IF(COUNTIFS(Results!$F$2:$F$482,$A11,Results!$A$2:$A$482,Y$4,Results!$H$2:$H$482,"DNF")&gt;0,"DNF","•")))</f>
        <v>88</v>
      </c>
      <c r="Z11" s="20" t="str">
        <f aca="false">IF(COUNTIFS(Results!$F$2:$F$482,$A11,Results!$A$2:$A$482,Z$4)=0,"",IF(COUNTIFS(Results!$F$2:$F$482,$A11,Results!$A$2:$A$482,Z$4,Results!$G$2:$G$482,"&gt;0")&gt;0,_xlfn.MINIFS(Results!$G$2:$G$482,Results!$F$2:$F$482,$A11,Results!$A$2:$A$482,Z$4,Results!$G$2:$G$482,"&gt;0"),IF(COUNTIFS(Results!$F$2:$F$482,$A11,Results!$A$2:$A$482,Z$4,Results!$H$2:$H$482,"DNF")&gt;0,"DNF","•")))</f>
        <v/>
      </c>
      <c r="AA11" s="20" t="str">
        <f aca="false">IF(COUNTIFS(Results!$F$2:$F$482,$A11,Results!$A$2:$A$482,AA$4)=0,"",IF(COUNTIFS(Results!$F$2:$F$482,$A11,Results!$A$2:$A$482,AA$4,Results!$G$2:$G$482,"&gt;0")&gt;0,_xlfn.MINIFS(Results!$G$2:$G$482,Results!$F$2:$F$482,$A11,Results!$A$2:$A$482,AA$4,Results!$G$2:$G$482,"&gt;0"),IF(COUNTIFS(Results!$F$2:$F$482,$A11,Results!$A$2:$A$482,AA$4,Results!$H$2:$H$482,"DNF")&gt;0,"DNF","•")))</f>
        <v/>
      </c>
      <c r="AB11" s="20" t="str">
        <f aca="false">IF(COUNTIFS(Results!$F$2:$F$482,$A11,Results!$A$2:$A$482,AB$4)=0,"",IF(COUNTIFS(Results!$F$2:$F$482,$A11,Results!$A$2:$A$482,AB$4,Results!$G$2:$G$482,"&gt;0")&gt;0,_xlfn.MINIFS(Results!$G$2:$G$482,Results!$F$2:$F$482,$A11,Results!$A$2:$A$482,AB$4,Results!$G$2:$G$482,"&gt;0"),IF(COUNTIFS(Results!$F$2:$F$482,$A11,Results!$A$2:$A$482,AB$4,Results!$H$2:$H$482,"DNF")&gt;0,"DNF","•")))</f>
        <v/>
      </c>
      <c r="AC11" s="20" t="str">
        <f aca="false">IF(COUNTIFS(Results!$F$2:$F$482,$A11,Results!$A$2:$A$482,AC$4)=0,"",IF(COUNTIFS(Results!$F$2:$F$482,$A11,Results!$A$2:$A$482,AC$4,Results!$G$2:$G$482,"&gt;0")&gt;0,_xlfn.MINIFS(Results!$G$2:$G$482,Results!$F$2:$F$482,$A11,Results!$A$2:$A$482,AC$4,Results!$G$2:$G$482,"&gt;0"),IF(COUNTIFS(Results!$F$2:$F$482,$A11,Results!$A$2:$A$482,AC$4,Results!$H$2:$H$482,"DNF")&gt;0,"DNF","•")))</f>
        <v/>
      </c>
      <c r="AD11" s="20" t="str">
        <f aca="false">IF(COUNTIFS(Results!$F$2:$F$482,$A11,Results!$A$2:$A$482,AD$4)=0,"",IF(COUNTIFS(Results!$F$2:$F$482,$A11,Results!$A$2:$A$482,AD$4,Results!$G$2:$G$482,"&gt;0")&gt;0,_xlfn.MINIFS(Results!$G$2:$G$482,Results!$F$2:$F$482,$A11,Results!$A$2:$A$482,AD$4,Results!$G$2:$G$482,"&gt;0"),IF(COUNTIFS(Results!$F$2:$F$482,$A11,Results!$A$2:$A$482,AD$4,Results!$H$2:$H$482,"DNF")&gt;0,"DNF","•")))</f>
        <v/>
      </c>
      <c r="AE11" s="20" t="str">
        <f aca="false">IF(COUNTIFS(Results!$F$2:$F$482,$A11,Results!$A$2:$A$482,AE$4)=0,"",IF(COUNTIFS(Results!$F$2:$F$482,$A11,Results!$A$2:$A$482,AE$4,Results!$G$2:$G$482,"&gt;0")&gt;0,_xlfn.MINIFS(Results!$G$2:$G$482,Results!$F$2:$F$482,$A11,Results!$A$2:$A$482,AE$4,Results!$G$2:$G$482,"&gt;0"),IF(COUNTIFS(Results!$F$2:$F$482,$A11,Results!$A$2:$A$482,AE$4,Results!$H$2:$H$482,"DNF")&gt;0,"DNF","•")))</f>
        <v/>
      </c>
      <c r="AF11" s="20" t="str">
        <f aca="false">IF(COUNTIFS(Results!$F$2:$F$482,$A11,Results!$A$2:$A$482,AF$4)=0,"",IF(COUNTIFS(Results!$F$2:$F$482,$A11,Results!$A$2:$A$482,AF$4,Results!$G$2:$G$482,"&gt;0")&gt;0,_xlfn.MINIFS(Results!$G$2:$G$482,Results!$F$2:$F$482,$A11,Results!$A$2:$A$482,AF$4,Results!$G$2:$G$482,"&gt;0"),IF(COUNTIFS(Results!$F$2:$F$482,$A11,Results!$A$2:$A$482,AF$4,Results!$H$2:$H$482,"DNF")&gt;0,"DNF","•")))</f>
        <v/>
      </c>
      <c r="AG11" s="20" t="str">
        <f aca="false">IF(COUNTIFS(Results!$F$2:$F$482,$A11,Results!$A$2:$A$482,AG$4)=0,"",IF(COUNTIFS(Results!$F$2:$F$482,$A11,Results!$A$2:$A$482,AG$4,Results!$G$2:$G$482,"&gt;0")&gt;0,_xlfn.MINIFS(Results!$G$2:$G$482,Results!$F$2:$F$482,$A11,Results!$A$2:$A$482,AG$4,Results!$G$2:$G$482,"&gt;0"),IF(COUNTIFS(Results!$F$2:$F$482,$A11,Results!$A$2:$A$482,AG$4,Results!$H$2:$H$482,"DNF")&gt;0,"DNF","•")))</f>
        <v/>
      </c>
      <c r="AH11" s="20" t="str">
        <f aca="false">IF(COUNTIFS(Results!$F$2:$F$482,$A11,Results!$A$2:$A$482,AH$4)=0,"",IF(COUNTIFS(Results!$F$2:$F$482,$A11,Results!$A$2:$A$482,AH$4,Results!$G$2:$G$482,"&gt;0")&gt;0,_xlfn.MINIFS(Results!$G$2:$G$482,Results!$F$2:$F$482,$A11,Results!$A$2:$A$482,AH$4,Results!$G$2:$G$482,"&gt;0"),IF(COUNTIFS(Results!$F$2:$F$482,$A11,Results!$A$2:$A$482,AH$4,Results!$H$2:$H$482,"DNF")&gt;0,"DNF","•")))</f>
        <v/>
      </c>
      <c r="AI11" s="20" t="str">
        <f aca="false">IF(COUNTIFS(Results!$F$2:$F$482,$A11,Results!$A$2:$A$482,AI$4)=0,"",IF(COUNTIFS(Results!$F$2:$F$482,$A11,Results!$A$2:$A$482,AI$4,Results!$G$2:$G$482,"&gt;0")&gt;0,_xlfn.MINIFS(Results!$G$2:$G$482,Results!$F$2:$F$482,$A11,Results!$A$2:$A$482,AI$4,Results!$G$2:$G$482,"&gt;0"),IF(COUNTIFS(Results!$F$2:$F$482,$A11,Results!$A$2:$A$482,AI$4,Results!$H$2:$H$482,"DNF")&gt;0,"DNF","•")))</f>
        <v/>
      </c>
      <c r="AJ11" s="20" t="n">
        <f aca="false">IF(COUNTIFS(Results!$F$2:$F$482,$A11,Results!$A$2:$A$482,AJ$4)=0,"",IF(COUNTIFS(Results!$F$2:$F$482,$A11,Results!$A$2:$A$482,AJ$4,Results!$G$2:$G$482,"&gt;0")&gt;0,_xlfn.MINIFS(Results!$G$2:$G$482,Results!$F$2:$F$482,$A11,Results!$A$2:$A$482,AJ$4,Results!$G$2:$G$482,"&gt;0"),IF(COUNTIFS(Results!$F$2:$F$482,$A11,Results!$A$2:$A$482,AJ$4,Results!$H$2:$H$482,"DNF")&gt;0,"DNF","•")))</f>
        <v>17</v>
      </c>
      <c r="AK11" s="20" t="str">
        <f aca="false">IF(COUNTIFS(Results!$F$2:$F$482,$A11,Results!$A$2:$A$482,AK$4)=0,"",IF(COUNTIFS(Results!$F$2:$F$482,$A11,Results!$A$2:$A$482,AK$4,Results!$G$2:$G$482,"&gt;0")&gt;0,_xlfn.MINIFS(Results!$G$2:$G$482,Results!$F$2:$F$482,$A11,Results!$A$2:$A$482,AK$4,Results!$G$2:$G$482,"&gt;0"),IF(COUNTIFS(Results!$F$2:$F$482,$A11,Results!$A$2:$A$482,AK$4,Results!$H$2:$H$482,"DNF")&gt;0,"DNF","•")))</f>
        <v/>
      </c>
      <c r="AL11" s="20" t="str">
        <f aca="false">IF(COUNTIFS(Results!$F$2:$F$482,$A11,Results!$A$2:$A$482,AL$4)=0,"",IF(COUNTIFS(Results!$F$2:$F$482,$A11,Results!$A$2:$A$482,AL$4,Results!$G$2:$G$482,"&gt;0")&gt;0,_xlfn.MINIFS(Results!$G$2:$G$482,Results!$F$2:$F$482,$A11,Results!$A$2:$A$482,AL$4,Results!$G$2:$G$482,"&gt;0"),IF(COUNTIFS(Results!$F$2:$F$482,$A11,Results!$A$2:$A$482,AL$4,Results!$H$2:$H$482,"DNF")&gt;0,"DNF","•")))</f>
        <v/>
      </c>
      <c r="AM11" s="20" t="n">
        <f aca="false">IF(COUNTIFS(Results!$F$2:$F$482,$A11,Results!$A$2:$A$482,AM$4)=0,"",IF(COUNTIFS(Results!$F$2:$F$482,$A11,Results!$A$2:$A$482,AM$4,Results!$G$2:$G$482,"&gt;0")&gt;0,_xlfn.MINIFS(Results!$G$2:$G$482,Results!$F$2:$F$482,$A11,Results!$A$2:$A$482,AM$4,Results!$G$2:$G$482,"&gt;0"),IF(COUNTIFS(Results!$F$2:$F$482,$A11,Results!$A$2:$A$482,AM$4,Results!$H$2:$H$482,"DNF")&gt;0,"DNF","•")))</f>
        <v>3</v>
      </c>
      <c r="AN11" s="20" t="str">
        <f aca="false">IF(COUNTIFS(Results!$F$2:$F$482,$A11,Results!$A$2:$A$482,AN$4)=0,"",IF(COUNTIFS(Results!$F$2:$F$482,$A11,Results!$A$2:$A$482,AN$4,Results!$G$2:$G$482,"&gt;0")&gt;0,_xlfn.MINIFS(Results!$G$2:$G$482,Results!$F$2:$F$482,$A11,Results!$A$2:$A$482,AN$4,Results!$G$2:$G$482,"&gt;0"),IF(COUNTIFS(Results!$F$2:$F$482,$A11,Results!$A$2:$A$482,AN$4,Results!$H$2:$H$482,"DNF")&gt;0,"DNF","•")))</f>
        <v/>
      </c>
      <c r="AO11" s="20" t="str">
        <f aca="false">IF(COUNTIFS(Results!$F$2:$F$482,$A11,Results!$A$2:$A$482,AO$4)=0,"",IF(COUNTIFS(Results!$F$2:$F$482,$A11,Results!$A$2:$A$482,AO$4,Results!$G$2:$G$482,"&gt;0")&gt;0,_xlfn.MINIFS(Results!$G$2:$G$482,Results!$F$2:$F$482,$A11,Results!$A$2:$A$482,AO$4,Results!$G$2:$G$482,"&gt;0"),IF(COUNTIFS(Results!$F$2:$F$482,$A11,Results!$A$2:$A$482,AO$4,Results!$H$2:$H$482,"DNF")&gt;0,"DNF","•")))</f>
        <v/>
      </c>
      <c r="AP11" s="20" t="str">
        <f aca="false">IF(COUNTIFS(Results!$F$2:$F$482,$A11,Results!$A$2:$A$482,AP$4)=0,"",IF(COUNTIFS(Results!$F$2:$F$482,$A11,Results!$A$2:$A$482,AP$4,Results!$G$2:$G$482,"&gt;0")&gt;0,_xlfn.MINIFS(Results!$G$2:$G$482,Results!$F$2:$F$482,$A11,Results!$A$2:$A$482,AP$4,Results!$G$2:$G$482,"&gt;0"),IF(COUNTIFS(Results!$F$2:$F$482,$A11,Results!$A$2:$A$482,AP$4,Results!$H$2:$H$482,"DNF")&gt;0,"DNF","•")))</f>
        <v/>
      </c>
      <c r="AQ11" s="20" t="str">
        <f aca="false">IF(COUNTIFS(Results!$F$2:$F$482,$A11,Results!$A$2:$A$482,AQ$4)=0,"",IF(COUNTIFS(Results!$F$2:$F$482,$A11,Results!$A$2:$A$482,AQ$4,Results!$G$2:$G$482,"&gt;0")&gt;0,_xlfn.MINIFS(Results!$G$2:$G$482,Results!$F$2:$F$482,$A11,Results!$A$2:$A$482,AQ$4,Results!$G$2:$G$482,"&gt;0"),IF(COUNTIFS(Results!$F$2:$F$482,$A11,Results!$A$2:$A$482,AQ$4,Results!$H$2:$H$482,"DNF")&gt;0,"DNF","•")))</f>
        <v/>
      </c>
      <c r="AR11" s="20" t="str">
        <f aca="false">IF(COUNTIFS(Results!$F$2:$F$482,$A11,Results!$A$2:$A$482,AR$4)=0,"",IF(COUNTIFS(Results!$F$2:$F$482,$A11,Results!$A$2:$A$482,AR$4,Results!$G$2:$G$482,"&gt;0")&gt;0,_xlfn.MINIFS(Results!$G$2:$G$482,Results!$F$2:$F$482,$A11,Results!$A$2:$A$482,AR$4,Results!$G$2:$G$482,"&gt;0"),IF(COUNTIFS(Results!$F$2:$F$482,$A11,Results!$A$2:$A$482,AR$4,Results!$H$2:$H$482,"DNF")&gt;0,"DNF","•")))</f>
        <v/>
      </c>
      <c r="AS11" s="20" t="str">
        <f aca="false">IF(COUNTIFS(Results!$F$2:$F$482,$A11,Results!$A$2:$A$482,AS$4)=0,"",IF(COUNTIFS(Results!$F$2:$F$482,$A11,Results!$A$2:$A$482,AS$4,Results!$G$2:$G$482,"&gt;0")&gt;0,_xlfn.MINIFS(Results!$G$2:$G$482,Results!$F$2:$F$482,$A11,Results!$A$2:$A$482,AS$4,Results!$G$2:$G$482,"&gt;0"),IF(COUNTIFS(Results!$F$2:$F$482,$A11,Results!$A$2:$A$482,AS$4,Results!$H$2:$H$482,"DNF")&gt;0,"DNF","•")))</f>
        <v/>
      </c>
      <c r="AT11" s="20" t="str">
        <f aca="false">IF(COUNTIFS(Results!$F$2:$F$482,$A11,Results!$A$2:$A$482,AT$4)=0,"",IF(COUNTIFS(Results!$F$2:$F$482,$A11,Results!$A$2:$A$482,AT$4,Results!$G$2:$G$482,"&gt;0")&gt;0,_xlfn.MINIFS(Results!$G$2:$G$482,Results!$F$2:$F$482,$A11,Results!$A$2:$A$482,AT$4,Results!$G$2:$G$482,"&gt;0"),IF(COUNTIFS(Results!$F$2:$F$482,$A11,Results!$A$2:$A$482,AT$4,Results!$H$2:$H$482,"DNF")&gt;0,"DNF","•")))</f>
        <v/>
      </c>
      <c r="AU11" s="20" t="n">
        <f aca="false">IF(COUNTIFS(Results!$F$2:$F$482,$A11,Results!$A$2:$A$482,AU$4)=0,"",IF(COUNTIFS(Results!$F$2:$F$482,$A11,Results!$A$2:$A$482,AU$4,Results!$G$2:$G$482,"&gt;0")&gt;0,_xlfn.MINIFS(Results!$G$2:$G$482,Results!$F$2:$F$482,$A11,Results!$A$2:$A$482,AU$4,Results!$G$2:$G$482,"&gt;0"),IF(COUNTIFS(Results!$F$2:$F$482,$A11,Results!$A$2:$A$482,AU$4,Results!$H$2:$H$482,"DNF")&gt;0,"DNF","•")))</f>
        <v>1</v>
      </c>
      <c r="AV11" s="20" t="str">
        <f aca="false">IF(COUNTIFS(Results!$F$2:$F$482,$A11,Results!$A$2:$A$482,AV$4)=0,"",IF(COUNTIFS(Results!$F$2:$F$482,$A11,Results!$A$2:$A$482,AV$4,Results!$G$2:$G$482,"&gt;0")&gt;0,_xlfn.MINIFS(Results!$G$2:$G$482,Results!$F$2:$F$482,$A11,Results!$A$2:$A$482,AV$4,Results!$G$2:$G$482,"&gt;0"),IF(COUNTIFS(Results!$F$2:$F$482,$A11,Results!$A$2:$A$482,AV$4,Results!$H$2:$H$482,"DNF")&gt;0,"DNF","•")))</f>
        <v/>
      </c>
      <c r="AW11" s="20" t="str">
        <f aca="false">IF(COUNTIFS(Results!$F$2:$F$482,$A11,Results!$A$2:$A$482,AW$4)=0,"",IF(COUNTIFS(Results!$F$2:$F$482,$A11,Results!$A$2:$A$482,AW$4,Results!$G$2:$G$482,"&gt;0")&gt;0,_xlfn.MINIFS(Results!$G$2:$G$482,Results!$F$2:$F$482,$A11,Results!$A$2:$A$482,AW$4,Results!$G$2:$G$482,"&gt;0"),IF(COUNTIFS(Results!$F$2:$F$482,$A11,Results!$A$2:$A$482,AW$4,Results!$H$2:$H$482,"DNF")&gt;0,"DNF","•")))</f>
        <v/>
      </c>
      <c r="AX11" s="20" t="str">
        <f aca="false">IF(COUNTIFS(Results!$F$2:$F$482,$A11,Results!$A$2:$A$482,AX$4)=0,"",IF(COUNTIFS(Results!$F$2:$F$482,$A11,Results!$A$2:$A$482,AX$4,Results!$G$2:$G$482,"&gt;0")&gt;0,_xlfn.MINIFS(Results!$G$2:$G$482,Results!$F$2:$F$482,$A11,Results!$A$2:$A$482,AX$4,Results!$G$2:$G$482,"&gt;0"),IF(COUNTIFS(Results!$F$2:$F$482,$A11,Results!$A$2:$A$482,AX$4,Results!$H$2:$H$482,"DNF")&gt;0,"DNF","•")))</f>
        <v/>
      </c>
      <c r="AY11" s="20" t="str">
        <f aca="false">IF(COUNTIFS(Results!$F$2:$F$482,$A11,Results!$A$2:$A$482,AY$4)=0,"",IF(COUNTIFS(Results!$F$2:$F$482,$A11,Results!$A$2:$A$482,AY$4,Results!$G$2:$G$482,"&gt;0")&gt;0,_xlfn.MINIFS(Results!$G$2:$G$482,Results!$F$2:$F$482,$A11,Results!$A$2:$A$482,AY$4,Results!$G$2:$G$482,"&gt;0"),IF(COUNTIFS(Results!$F$2:$F$482,$A11,Results!$A$2:$A$482,AY$4,Results!$H$2:$H$482,"DNF")&gt;0,"DNF","•")))</f>
        <v/>
      </c>
      <c r="AZ11" s="20" t="str">
        <f aca="false">IF(COUNTIFS(Results!$F$2:$F$482,$A11,Results!$A$2:$A$482,AZ$4)=0,"",IF(COUNTIFS(Results!$F$2:$F$482,$A11,Results!$A$2:$A$482,AZ$4,Results!$G$2:$G$482,"&gt;0")&gt;0,_xlfn.MINIFS(Results!$G$2:$G$482,Results!$F$2:$F$482,$A11,Results!$A$2:$A$482,AZ$4,Results!$G$2:$G$482,"&gt;0"),IF(COUNTIFS(Results!$F$2:$F$482,$A11,Results!$A$2:$A$482,AZ$4,Results!$H$2:$H$482,"DNF")&gt;0,"DNF","•")))</f>
        <v/>
      </c>
      <c r="BA11" s="20" t="str">
        <f aca="false">IF(COUNTIFS(Results!$F$2:$F$482,$A11,Results!$A$2:$A$482,BA$4)=0,"",IF(COUNTIFS(Results!$F$2:$F$482,$A11,Results!$A$2:$A$482,BA$4,Results!$G$2:$G$482,"&gt;0")&gt;0,_xlfn.MINIFS(Results!$G$2:$G$482,Results!$F$2:$F$482,$A11,Results!$A$2:$A$482,BA$4,Results!$G$2:$G$482,"&gt;0"),IF(COUNTIFS(Results!$F$2:$F$482,$A11,Results!$A$2:$A$482,BA$4,Results!$H$2:$H$482,"DNF")&gt;0,"DNF","•")))</f>
        <v/>
      </c>
      <c r="BB11" s="20" t="str">
        <f aca="false">IF(COUNTIFS(Results!$F$2:$F$482,$A11,Results!$A$2:$A$482,BB$4)=0,"",IF(COUNTIFS(Results!$F$2:$F$482,$A11,Results!$A$2:$A$482,BB$4,Results!$G$2:$G$482,"&gt;0")&gt;0,_xlfn.MINIFS(Results!$G$2:$G$482,Results!$F$2:$F$482,$A11,Results!$A$2:$A$482,BB$4,Results!$G$2:$G$482,"&gt;0"),IF(COUNTIFS(Results!$F$2:$F$482,$A11,Results!$A$2:$A$482,BB$4,Results!$H$2:$H$482,"DNF")&gt;0,"DNF","•")))</f>
        <v/>
      </c>
      <c r="BC11" s="20" t="str">
        <f aca="false">IF(COUNTIFS(Results!$F$2:$F$482,$A11,Results!$A$2:$A$482,BC$4)=0,"",IF(COUNTIFS(Results!$F$2:$F$482,$A11,Results!$A$2:$A$482,BC$4,Results!$G$2:$G$482,"&gt;0")&gt;0,_xlfn.MINIFS(Results!$G$2:$G$482,Results!$F$2:$F$482,$A11,Results!$A$2:$A$482,BC$4,Results!$G$2:$G$482,"&gt;0"),IF(COUNTIFS(Results!$F$2:$F$482,$A11,Results!$A$2:$A$482,BC$4,Results!$H$2:$H$482,"DNF")&gt;0,"DNF","•")))</f>
        <v/>
      </c>
      <c r="BD11" s="20" t="str">
        <f aca="false">IF(COUNTIFS(Results!$F$2:$F$482,$A11,Results!$A$2:$A$482,BD$4)=0,"",IF(COUNTIFS(Results!$F$2:$F$482,$A11,Results!$A$2:$A$482,BD$4,Results!$G$2:$G$482,"&gt;0")&gt;0,_xlfn.MINIFS(Results!$G$2:$G$482,Results!$F$2:$F$482,$A11,Results!$A$2:$A$482,BD$4,Results!$G$2:$G$482,"&gt;0"),IF(COUNTIFS(Results!$F$2:$F$482,$A11,Results!$A$2:$A$482,BD$4,Results!$H$2:$H$482,"DNF")&gt;0,"DNF","•")))</f>
        <v/>
      </c>
      <c r="BE11" s="20" t="str">
        <f aca="false">IF(COUNTIFS(Results!$F$2:$F$482,$A11,Results!$A$2:$A$482,BE$4)=0,"",IF(COUNTIFS(Results!$F$2:$F$482,$A11,Results!$A$2:$A$482,BE$4,Results!$G$2:$G$482,"&gt;0")&gt;0,_xlfn.MINIFS(Results!$G$2:$G$482,Results!$F$2:$F$482,$A11,Results!$A$2:$A$482,BE$4,Results!$G$2:$G$482,"&gt;0"),IF(COUNTIFS(Results!$F$2:$F$482,$A11,Results!$A$2:$A$482,BE$4,Results!$H$2:$H$482,"DNF")&gt;0,"DNF","•")))</f>
        <v/>
      </c>
      <c r="BF11" s="20" t="str">
        <f aca="false">IF(COUNTIFS(Results!$F$2:$F$482,$A11,Results!$A$2:$A$482,BF$4)=0,"",IF(COUNTIFS(Results!$F$2:$F$482,$A11,Results!$A$2:$A$482,BF$4,Results!$G$2:$G$482,"&gt;0")&gt;0,_xlfn.MINIFS(Results!$G$2:$G$482,Results!$F$2:$F$482,$A11,Results!$A$2:$A$482,BF$4,Results!$G$2:$G$482,"&gt;0"),IF(COUNTIFS(Results!$F$2:$F$482,$A11,Results!$A$2:$A$482,BF$4,Results!$H$2:$H$482,"DNF")&gt;0,"DNF","•")))</f>
        <v/>
      </c>
      <c r="BG11" s="20" t="str">
        <f aca="false">IF(COUNTIFS(Results!$F$2:$F$482,$A11,Results!$A$2:$A$482,BG$4)=0,"",IF(COUNTIFS(Results!$F$2:$F$482,$A11,Results!$A$2:$A$482,BG$4,Results!$G$2:$G$482,"&gt;0")&gt;0,_xlfn.MINIFS(Results!$G$2:$G$482,Results!$F$2:$F$482,$A11,Results!$A$2:$A$482,BG$4,Results!$G$2:$G$482,"&gt;0"),IF(COUNTIFS(Results!$F$2:$F$482,$A11,Results!$A$2:$A$482,BG$4,Results!$H$2:$H$482,"DNF")&gt;0,"DNF","•")))</f>
        <v/>
      </c>
      <c r="BH11" s="20" t="str">
        <f aca="false">IF(COUNTIFS(Results!$F$2:$F$482,$A11,Results!$A$2:$A$482,BH$4)=0,"",IF(COUNTIFS(Results!$F$2:$F$482,$A11,Results!$A$2:$A$482,BH$4,Results!$G$2:$G$482,"&gt;0")&gt;0,_xlfn.MINIFS(Results!$G$2:$G$482,Results!$F$2:$F$482,$A11,Results!$A$2:$A$482,BH$4,Results!$G$2:$G$482,"&gt;0"),IF(COUNTIFS(Results!$F$2:$F$482,$A11,Results!$A$2:$A$482,BH$4,Results!$H$2:$H$482,"DNF")&gt;0,"DNF","•")))</f>
        <v/>
      </c>
      <c r="BI11" s="20" t="n">
        <f aca="false">IF(COUNTIFS(Results!$F$2:$F$482,$A11,Results!$A$2:$A$482,BI$4)=0,"",IF(COUNTIFS(Results!$F$2:$F$482,$A11,Results!$A$2:$A$482,BI$4,Results!$G$2:$G$482,"&gt;0")&gt;0,_xlfn.MINIFS(Results!$G$2:$G$482,Results!$F$2:$F$482,$A11,Results!$A$2:$A$482,BI$4,Results!$G$2:$G$482,"&gt;0"),IF(COUNTIFS(Results!$F$2:$F$482,$A11,Results!$A$2:$A$482,BI$4,Results!$H$2:$H$482,"DNF")&gt;0,"DNF","•")))</f>
        <v>2</v>
      </c>
      <c r="BJ11" s="20" t="str">
        <f aca="false">IF(COUNTIFS(Results!$F$2:$F$482,$A11,Results!$A$2:$A$482,BJ$4)=0,"",IF(COUNTIFS(Results!$F$2:$F$482,$A11,Results!$A$2:$A$482,BJ$4,Results!$G$2:$G$482,"&gt;0")&gt;0,_xlfn.MINIFS(Results!$G$2:$G$482,Results!$F$2:$F$482,$A11,Results!$A$2:$A$482,BJ$4,Results!$G$2:$G$482,"&gt;0"),IF(COUNTIFS(Results!$F$2:$F$482,$A11,Results!$A$2:$A$482,BJ$4,Results!$H$2:$H$482,"DNF")&gt;0,"DNF","•")))</f>
        <v/>
      </c>
      <c r="BK11" s="20" t="str">
        <f aca="false">IF(COUNTIFS(Results!$F$2:$F$482,$A11,Results!$A$2:$A$482,BK$4)=0,"",IF(COUNTIFS(Results!$F$2:$F$482,$A11,Results!$A$2:$A$482,BK$4,Results!$G$2:$G$482,"&gt;0")&gt;0,_xlfn.MINIFS(Results!$G$2:$G$482,Results!$F$2:$F$482,$A11,Results!$A$2:$A$482,BK$4,Results!$G$2:$G$482,"&gt;0"),IF(COUNTIFS(Results!$F$2:$F$482,$A11,Results!$A$2:$A$482,BK$4,Results!$H$2:$H$482,"DNF")&gt;0,"DNF","•")))</f>
        <v/>
      </c>
      <c r="BL11" s="20" t="str">
        <f aca="false">IF(COUNTIFS(Results!$F$2:$F$482,$A11,Results!$A$2:$A$482,BL$4)=0,"",IF(COUNTIFS(Results!$F$2:$F$482,$A11,Results!$A$2:$A$482,BL$4,Results!$G$2:$G$482,"&gt;0")&gt;0,_xlfn.MINIFS(Results!$G$2:$G$482,Results!$F$2:$F$482,$A11,Results!$A$2:$A$482,BL$4,Results!$G$2:$G$482,"&gt;0"),IF(COUNTIFS(Results!$F$2:$F$482,$A11,Results!$A$2:$A$482,BL$4,Results!$H$2:$H$482,"DNF")&gt;0,"DNF","•")))</f>
        <v/>
      </c>
    </row>
    <row r="12" customFormat="false" ht="15" hidden="false" customHeight="false" outlineLevel="0" collapsed="false">
      <c r="A12" s="7" t="str">
        <f aca="false">Riders!A10</f>
        <v>Alicja Matuła</v>
      </c>
      <c r="B12" s="20" t="str">
        <f aca="false">IF(COUNTIFS(Results!$F$2:$F$482,$A12,Results!$A$2:$A$482,B$4)=0,"",IF(COUNTIFS(Results!$F$2:$F$482,$A12,Results!$A$2:$A$482,B$4,Results!$G$2:$G$482,"&gt;0")&gt;0,_xlfn.MINIFS(Results!$G$2:$G$482,Results!$F$2:$F$482,$A12,Results!$A$2:$A$482,B$4,Results!$G$2:$G$482,"&gt;0"),IF(COUNTIFS(Results!$F$2:$F$482,$A12,Results!$A$2:$A$482,B$4,Results!$H$2:$H$482,"DNF")&gt;0,"DNF","•")))</f>
        <v/>
      </c>
      <c r="C12" s="20" t="n">
        <f aca="false">IF(COUNTIFS(Results!$F$2:$F$482,$A12,Results!$A$2:$A$482,C$4)=0,"",IF(COUNTIFS(Results!$F$2:$F$482,$A12,Results!$A$2:$A$482,C$4,Results!$G$2:$G$482,"&gt;0")&gt;0,_xlfn.MINIFS(Results!$G$2:$G$482,Results!$F$2:$F$482,$A12,Results!$A$2:$A$482,C$4,Results!$G$2:$G$482,"&gt;0"),IF(COUNTIFS(Results!$F$2:$F$482,$A12,Results!$A$2:$A$482,C$4,Results!$H$2:$H$482,"DNF")&gt;0,"DNF","•")))</f>
        <v>1</v>
      </c>
      <c r="D12" s="20" t="str">
        <f aca="false">IF(COUNTIFS(Results!$F$2:$F$482,$A12,Results!$A$2:$A$482,D$4)=0,"",IF(COUNTIFS(Results!$F$2:$F$482,$A12,Results!$A$2:$A$482,D$4,Results!$G$2:$G$482,"&gt;0")&gt;0,_xlfn.MINIFS(Results!$G$2:$G$482,Results!$F$2:$F$482,$A12,Results!$A$2:$A$482,D$4,Results!$G$2:$G$482,"&gt;0"),IF(COUNTIFS(Results!$F$2:$F$482,$A12,Results!$A$2:$A$482,D$4,Results!$H$2:$H$482,"DNF")&gt;0,"DNF","•")))</f>
        <v/>
      </c>
      <c r="E12" s="20" t="str">
        <f aca="false">IF(COUNTIFS(Results!$F$2:$F$482,$A12,Results!$A$2:$A$482,E$4)=0,"",IF(COUNTIFS(Results!$F$2:$F$482,$A12,Results!$A$2:$A$482,E$4,Results!$G$2:$G$482,"&gt;0")&gt;0,_xlfn.MINIFS(Results!$G$2:$G$482,Results!$F$2:$F$482,$A12,Results!$A$2:$A$482,E$4,Results!$G$2:$G$482,"&gt;0"),IF(COUNTIFS(Results!$F$2:$F$482,$A12,Results!$A$2:$A$482,E$4,Results!$H$2:$H$482,"DNF")&gt;0,"DNF","•")))</f>
        <v/>
      </c>
      <c r="F12" s="20" t="n">
        <f aca="false">IF(COUNTIFS(Results!$F$2:$F$482,$A12,Results!$A$2:$A$482,F$4)=0,"",IF(COUNTIFS(Results!$F$2:$F$482,$A12,Results!$A$2:$A$482,F$4,Results!$G$2:$G$482,"&gt;0")&gt;0,_xlfn.MINIFS(Results!$G$2:$G$482,Results!$F$2:$F$482,$A12,Results!$A$2:$A$482,F$4,Results!$G$2:$G$482,"&gt;0"),IF(COUNTIFS(Results!$F$2:$F$482,$A12,Results!$A$2:$A$482,F$4,Results!$H$2:$H$482,"DNF")&gt;0,"DNF","•")))</f>
        <v>55</v>
      </c>
      <c r="G12" s="20" t="n">
        <f aca="false">IF(COUNTIFS(Results!$F$2:$F$482,$A12,Results!$A$2:$A$482,G$4)=0,"",IF(COUNTIFS(Results!$F$2:$F$482,$A12,Results!$A$2:$A$482,G$4,Results!$G$2:$G$482,"&gt;0")&gt;0,_xlfn.MINIFS(Results!$G$2:$G$482,Results!$F$2:$F$482,$A12,Results!$A$2:$A$482,G$4,Results!$G$2:$G$482,"&gt;0"),IF(COUNTIFS(Results!$F$2:$F$482,$A12,Results!$A$2:$A$482,G$4,Results!$H$2:$H$482,"DNF")&gt;0,"DNF","•")))</f>
        <v>68</v>
      </c>
      <c r="H12" s="20" t="str">
        <f aca="false">IF(COUNTIFS(Results!$F$2:$F$482,$A12,Results!$A$2:$A$482,H$4)=0,"",IF(COUNTIFS(Results!$F$2:$F$482,$A12,Results!$A$2:$A$482,H$4,Results!$G$2:$G$482,"&gt;0")&gt;0,_xlfn.MINIFS(Results!$G$2:$G$482,Results!$F$2:$F$482,$A12,Results!$A$2:$A$482,H$4,Results!$G$2:$G$482,"&gt;0"),IF(COUNTIFS(Results!$F$2:$F$482,$A12,Results!$A$2:$A$482,H$4,Results!$H$2:$H$482,"DNF")&gt;0,"DNF","•")))</f>
        <v/>
      </c>
      <c r="I12" s="20" t="n">
        <f aca="false">IF(COUNTIFS(Results!$F$2:$F$482,$A12,Results!$A$2:$A$482,I$4)=0,"",IF(COUNTIFS(Results!$F$2:$F$482,$A12,Results!$A$2:$A$482,I$4,Results!$G$2:$G$482,"&gt;0")&gt;0,_xlfn.MINIFS(Results!$G$2:$G$482,Results!$F$2:$F$482,$A12,Results!$A$2:$A$482,I$4,Results!$G$2:$G$482,"&gt;0"),IF(COUNTIFS(Results!$F$2:$F$482,$A12,Results!$A$2:$A$482,I$4,Results!$H$2:$H$482,"DNF")&gt;0,"DNF","•")))</f>
        <v>76</v>
      </c>
      <c r="J12" s="20" t="str">
        <f aca="false">IF(COUNTIFS(Results!$F$2:$F$482,$A12,Results!$A$2:$A$482,J$4)=0,"",IF(COUNTIFS(Results!$F$2:$F$482,$A12,Results!$A$2:$A$482,J$4,Results!$G$2:$G$482,"&gt;0")&gt;0,_xlfn.MINIFS(Results!$G$2:$G$482,Results!$F$2:$F$482,$A12,Results!$A$2:$A$482,J$4,Results!$G$2:$G$482,"&gt;0"),IF(COUNTIFS(Results!$F$2:$F$482,$A12,Results!$A$2:$A$482,J$4,Results!$H$2:$H$482,"DNF")&gt;0,"DNF","•")))</f>
        <v/>
      </c>
      <c r="K12" s="20" t="str">
        <f aca="false">IF(COUNTIFS(Results!$F$2:$F$482,$A12,Results!$A$2:$A$482,K$4)=0,"",IF(COUNTIFS(Results!$F$2:$F$482,$A12,Results!$A$2:$A$482,K$4,Results!$G$2:$G$482,"&gt;0")&gt;0,_xlfn.MINIFS(Results!$G$2:$G$482,Results!$F$2:$F$482,$A12,Results!$A$2:$A$482,K$4,Results!$G$2:$G$482,"&gt;0"),IF(COUNTIFS(Results!$F$2:$F$482,$A12,Results!$A$2:$A$482,K$4,Results!$H$2:$H$482,"DNF")&gt;0,"DNF","•")))</f>
        <v>DNF</v>
      </c>
      <c r="L12" s="20" t="str">
        <f aca="false">IF(COUNTIFS(Results!$F$2:$F$482,$A12,Results!$A$2:$A$482,L$4)=0,"",IF(COUNTIFS(Results!$F$2:$F$482,$A12,Results!$A$2:$A$482,L$4,Results!$G$2:$G$482,"&gt;0")&gt;0,_xlfn.MINIFS(Results!$G$2:$G$482,Results!$F$2:$F$482,$A12,Results!$A$2:$A$482,L$4,Results!$G$2:$G$482,"&gt;0"),IF(COUNTIFS(Results!$F$2:$F$482,$A12,Results!$A$2:$A$482,L$4,Results!$H$2:$H$482,"DNF")&gt;0,"DNF","•")))</f>
        <v/>
      </c>
      <c r="M12" s="20" t="str">
        <f aca="false">IF(COUNTIFS(Results!$F$2:$F$482,$A12,Results!$A$2:$A$482,M$4)=0,"",IF(COUNTIFS(Results!$F$2:$F$482,$A12,Results!$A$2:$A$482,M$4,Results!$G$2:$G$482,"&gt;0")&gt;0,_xlfn.MINIFS(Results!$G$2:$G$482,Results!$F$2:$F$482,$A12,Results!$A$2:$A$482,M$4,Results!$G$2:$G$482,"&gt;0"),IF(COUNTIFS(Results!$F$2:$F$482,$A12,Results!$A$2:$A$482,M$4,Results!$H$2:$H$482,"DNF")&gt;0,"DNF","•")))</f>
        <v>DNF</v>
      </c>
      <c r="N12" s="20" t="str">
        <f aca="false">IF(COUNTIFS(Results!$F$2:$F$482,$A12,Results!$A$2:$A$482,N$4)=0,"",IF(COUNTIFS(Results!$F$2:$F$482,$A12,Results!$A$2:$A$482,N$4,Results!$G$2:$G$482,"&gt;0")&gt;0,_xlfn.MINIFS(Results!$G$2:$G$482,Results!$F$2:$F$482,$A12,Results!$A$2:$A$482,N$4,Results!$G$2:$G$482,"&gt;0"),IF(COUNTIFS(Results!$F$2:$F$482,$A12,Results!$A$2:$A$482,N$4,Results!$H$2:$H$482,"DNF")&gt;0,"DNF","•")))</f>
        <v/>
      </c>
      <c r="O12" s="20" t="str">
        <f aca="false">IF(COUNTIFS(Results!$F$2:$F$482,$A12,Results!$A$2:$A$482,O$4)=0,"",IF(COUNTIFS(Results!$F$2:$F$482,$A12,Results!$A$2:$A$482,O$4,Results!$G$2:$G$482,"&gt;0")&gt;0,_xlfn.MINIFS(Results!$G$2:$G$482,Results!$F$2:$F$482,$A12,Results!$A$2:$A$482,O$4,Results!$G$2:$G$482,"&gt;0"),IF(COUNTIFS(Results!$F$2:$F$482,$A12,Results!$A$2:$A$482,O$4,Results!$H$2:$H$482,"DNF")&gt;0,"DNF","•")))</f>
        <v>DNF</v>
      </c>
      <c r="P12" s="20" t="str">
        <f aca="false">IF(COUNTIFS(Results!$F$2:$F$482,$A12,Results!$A$2:$A$482,P$4)=0,"",IF(COUNTIFS(Results!$F$2:$F$482,$A12,Results!$A$2:$A$482,P$4,Results!$G$2:$G$482,"&gt;0")&gt;0,_xlfn.MINIFS(Results!$G$2:$G$482,Results!$F$2:$F$482,$A12,Results!$A$2:$A$482,P$4,Results!$G$2:$G$482,"&gt;0"),IF(COUNTIFS(Results!$F$2:$F$482,$A12,Results!$A$2:$A$482,P$4,Results!$H$2:$H$482,"DNF")&gt;0,"DNF","•")))</f>
        <v/>
      </c>
      <c r="Q12" s="20" t="str">
        <f aca="false">IF(COUNTIFS(Results!$F$2:$F$482,$A12,Results!$A$2:$A$482,Q$4)=0,"",IF(COUNTIFS(Results!$F$2:$F$482,$A12,Results!$A$2:$A$482,Q$4,Results!$G$2:$G$482,"&gt;0")&gt;0,_xlfn.MINIFS(Results!$G$2:$G$482,Results!$F$2:$F$482,$A12,Results!$A$2:$A$482,Q$4,Results!$G$2:$G$482,"&gt;0"),IF(COUNTIFS(Results!$F$2:$F$482,$A12,Results!$A$2:$A$482,Q$4,Results!$H$2:$H$482,"DNF")&gt;0,"DNF","•")))</f>
        <v/>
      </c>
      <c r="R12" s="20" t="str">
        <f aca="false">IF(COUNTIFS(Results!$F$2:$F$482,$A12,Results!$A$2:$A$482,R$4)=0,"",IF(COUNTIFS(Results!$F$2:$F$482,$A12,Results!$A$2:$A$482,R$4,Results!$G$2:$G$482,"&gt;0")&gt;0,_xlfn.MINIFS(Results!$G$2:$G$482,Results!$F$2:$F$482,$A12,Results!$A$2:$A$482,R$4,Results!$G$2:$G$482,"&gt;0"),IF(COUNTIFS(Results!$F$2:$F$482,$A12,Results!$A$2:$A$482,R$4,Results!$H$2:$H$482,"DNF")&gt;0,"DNF","•")))</f>
        <v/>
      </c>
      <c r="S12" s="20" t="str">
        <f aca="false">IF(COUNTIFS(Results!$F$2:$F$482,$A12,Results!$A$2:$A$482,S$4)=0,"",IF(COUNTIFS(Results!$F$2:$F$482,$A12,Results!$A$2:$A$482,S$4,Results!$G$2:$G$482,"&gt;0")&gt;0,_xlfn.MINIFS(Results!$G$2:$G$482,Results!$F$2:$F$482,$A12,Results!$A$2:$A$482,S$4,Results!$G$2:$G$482,"&gt;0"),IF(COUNTIFS(Results!$F$2:$F$482,$A12,Results!$A$2:$A$482,S$4,Results!$H$2:$H$482,"DNF")&gt;0,"DNF","•")))</f>
        <v/>
      </c>
      <c r="T12" s="20" t="n">
        <f aca="false">IF(COUNTIFS(Results!$F$2:$F$482,$A12,Results!$A$2:$A$482,T$4)=0,"",IF(COUNTIFS(Results!$F$2:$F$482,$A12,Results!$A$2:$A$482,T$4,Results!$G$2:$G$482,"&gt;0")&gt;0,_xlfn.MINIFS(Results!$G$2:$G$482,Results!$F$2:$F$482,$A12,Results!$A$2:$A$482,T$4,Results!$G$2:$G$482,"&gt;0"),IF(COUNTIFS(Results!$F$2:$F$482,$A12,Results!$A$2:$A$482,T$4,Results!$H$2:$H$482,"DNF")&gt;0,"DNF","•")))</f>
        <v>2</v>
      </c>
      <c r="U12" s="20" t="n">
        <f aca="false">IF(COUNTIFS(Results!$F$2:$F$482,$A12,Results!$A$2:$A$482,U$4)=0,"",IF(COUNTIFS(Results!$F$2:$F$482,$A12,Results!$A$2:$A$482,U$4,Results!$G$2:$G$482,"&gt;0")&gt;0,_xlfn.MINIFS(Results!$G$2:$G$482,Results!$F$2:$F$482,$A12,Results!$A$2:$A$482,U$4,Results!$G$2:$G$482,"&gt;0"),IF(COUNTIFS(Results!$F$2:$F$482,$A12,Results!$A$2:$A$482,U$4,Results!$H$2:$H$482,"DNF")&gt;0,"DNF","•")))</f>
        <v>21</v>
      </c>
      <c r="V12" s="20" t="str">
        <f aca="false">IF(COUNTIFS(Results!$F$2:$F$482,$A12,Results!$A$2:$A$482,V$4)=0,"",IF(COUNTIFS(Results!$F$2:$F$482,$A12,Results!$A$2:$A$482,V$4,Results!$G$2:$G$482,"&gt;0")&gt;0,_xlfn.MINIFS(Results!$G$2:$G$482,Results!$F$2:$F$482,$A12,Results!$A$2:$A$482,V$4,Results!$G$2:$G$482,"&gt;0"),IF(COUNTIFS(Results!$F$2:$F$482,$A12,Results!$A$2:$A$482,V$4,Results!$H$2:$H$482,"DNF")&gt;0,"DNF","•")))</f>
        <v/>
      </c>
      <c r="W12" s="20" t="str">
        <f aca="false">IF(COUNTIFS(Results!$F$2:$F$482,$A12,Results!$A$2:$A$482,W$4)=0,"",IF(COUNTIFS(Results!$F$2:$F$482,$A12,Results!$A$2:$A$482,W$4,Results!$G$2:$G$482,"&gt;0")&gt;0,_xlfn.MINIFS(Results!$G$2:$G$482,Results!$F$2:$F$482,$A12,Results!$A$2:$A$482,W$4,Results!$G$2:$G$482,"&gt;0"),IF(COUNTIFS(Results!$F$2:$F$482,$A12,Results!$A$2:$A$482,W$4,Results!$H$2:$H$482,"DNF")&gt;0,"DNF","•")))</f>
        <v/>
      </c>
      <c r="X12" s="20" t="str">
        <f aca="false">IF(COUNTIFS(Results!$F$2:$F$482,$A12,Results!$A$2:$A$482,X$4)=0,"",IF(COUNTIFS(Results!$F$2:$F$482,$A12,Results!$A$2:$A$482,X$4,Results!$G$2:$G$482,"&gt;0")&gt;0,_xlfn.MINIFS(Results!$G$2:$G$482,Results!$F$2:$F$482,$A12,Results!$A$2:$A$482,X$4,Results!$G$2:$G$482,"&gt;0"),IF(COUNTIFS(Results!$F$2:$F$482,$A12,Results!$A$2:$A$482,X$4,Results!$H$2:$H$482,"DNF")&gt;0,"DNF","•")))</f>
        <v/>
      </c>
      <c r="Y12" s="20" t="n">
        <f aca="false">IF(COUNTIFS(Results!$F$2:$F$482,$A12,Results!$A$2:$A$482,Y$4)=0,"",IF(COUNTIFS(Results!$F$2:$F$482,$A12,Results!$A$2:$A$482,Y$4,Results!$G$2:$G$482,"&gt;0")&gt;0,_xlfn.MINIFS(Results!$G$2:$G$482,Results!$F$2:$F$482,$A12,Results!$A$2:$A$482,Y$4,Results!$G$2:$G$482,"&gt;0"),IF(COUNTIFS(Results!$F$2:$F$482,$A12,Results!$A$2:$A$482,Y$4,Results!$H$2:$H$482,"DNF")&gt;0,"DNF","•")))</f>
        <v>90</v>
      </c>
      <c r="Z12" s="20" t="str">
        <f aca="false">IF(COUNTIFS(Results!$F$2:$F$482,$A12,Results!$A$2:$A$482,Z$4)=0,"",IF(COUNTIFS(Results!$F$2:$F$482,$A12,Results!$A$2:$A$482,Z$4,Results!$G$2:$G$482,"&gt;0")&gt;0,_xlfn.MINIFS(Results!$G$2:$G$482,Results!$F$2:$F$482,$A12,Results!$A$2:$A$482,Z$4,Results!$G$2:$G$482,"&gt;0"),IF(COUNTIFS(Results!$F$2:$F$482,$A12,Results!$A$2:$A$482,Z$4,Results!$H$2:$H$482,"DNF")&gt;0,"DNF","•")))</f>
        <v/>
      </c>
      <c r="AA12" s="20" t="str">
        <f aca="false">IF(COUNTIFS(Results!$F$2:$F$482,$A12,Results!$A$2:$A$482,AA$4)=0,"",IF(COUNTIFS(Results!$F$2:$F$482,$A12,Results!$A$2:$A$482,AA$4,Results!$G$2:$G$482,"&gt;0")&gt;0,_xlfn.MINIFS(Results!$G$2:$G$482,Results!$F$2:$F$482,$A12,Results!$A$2:$A$482,AA$4,Results!$G$2:$G$482,"&gt;0"),IF(COUNTIFS(Results!$F$2:$F$482,$A12,Results!$A$2:$A$482,AA$4,Results!$H$2:$H$482,"DNF")&gt;0,"DNF","•")))</f>
        <v/>
      </c>
      <c r="AB12" s="20" t="str">
        <f aca="false">IF(COUNTIFS(Results!$F$2:$F$482,$A12,Results!$A$2:$A$482,AB$4)=0,"",IF(COUNTIFS(Results!$F$2:$F$482,$A12,Results!$A$2:$A$482,AB$4,Results!$G$2:$G$482,"&gt;0")&gt;0,_xlfn.MINIFS(Results!$G$2:$G$482,Results!$F$2:$F$482,$A12,Results!$A$2:$A$482,AB$4,Results!$G$2:$G$482,"&gt;0"),IF(COUNTIFS(Results!$F$2:$F$482,$A12,Results!$A$2:$A$482,AB$4,Results!$H$2:$H$482,"DNF")&gt;0,"DNF","•")))</f>
        <v/>
      </c>
      <c r="AC12" s="20" t="str">
        <f aca="false">IF(COUNTIFS(Results!$F$2:$F$482,$A12,Results!$A$2:$A$482,AC$4)=0,"",IF(COUNTIFS(Results!$F$2:$F$482,$A12,Results!$A$2:$A$482,AC$4,Results!$G$2:$G$482,"&gt;0")&gt;0,_xlfn.MINIFS(Results!$G$2:$G$482,Results!$F$2:$F$482,$A12,Results!$A$2:$A$482,AC$4,Results!$G$2:$G$482,"&gt;0"),IF(COUNTIFS(Results!$F$2:$F$482,$A12,Results!$A$2:$A$482,AC$4,Results!$H$2:$H$482,"DNF")&gt;0,"DNF","•")))</f>
        <v/>
      </c>
      <c r="AD12" s="20" t="str">
        <f aca="false">IF(COUNTIFS(Results!$F$2:$F$482,$A12,Results!$A$2:$A$482,AD$4)=0,"",IF(COUNTIFS(Results!$F$2:$F$482,$A12,Results!$A$2:$A$482,AD$4,Results!$G$2:$G$482,"&gt;0")&gt;0,_xlfn.MINIFS(Results!$G$2:$G$482,Results!$F$2:$F$482,$A12,Results!$A$2:$A$482,AD$4,Results!$G$2:$G$482,"&gt;0"),IF(COUNTIFS(Results!$F$2:$F$482,$A12,Results!$A$2:$A$482,AD$4,Results!$H$2:$H$482,"DNF")&gt;0,"DNF","•")))</f>
        <v/>
      </c>
      <c r="AE12" s="20" t="str">
        <f aca="false">IF(COUNTIFS(Results!$F$2:$F$482,$A12,Results!$A$2:$A$482,AE$4)=0,"",IF(COUNTIFS(Results!$F$2:$F$482,$A12,Results!$A$2:$A$482,AE$4,Results!$G$2:$G$482,"&gt;0")&gt;0,_xlfn.MINIFS(Results!$G$2:$G$482,Results!$F$2:$F$482,$A12,Results!$A$2:$A$482,AE$4,Results!$G$2:$G$482,"&gt;0"),IF(COUNTIFS(Results!$F$2:$F$482,$A12,Results!$A$2:$A$482,AE$4,Results!$H$2:$H$482,"DNF")&gt;0,"DNF","•")))</f>
        <v/>
      </c>
      <c r="AF12" s="20" t="str">
        <f aca="false">IF(COUNTIFS(Results!$F$2:$F$482,$A12,Results!$A$2:$A$482,AF$4)=0,"",IF(COUNTIFS(Results!$F$2:$F$482,$A12,Results!$A$2:$A$482,AF$4,Results!$G$2:$G$482,"&gt;0")&gt;0,_xlfn.MINIFS(Results!$G$2:$G$482,Results!$F$2:$F$482,$A12,Results!$A$2:$A$482,AF$4,Results!$G$2:$G$482,"&gt;0"),IF(COUNTIFS(Results!$F$2:$F$482,$A12,Results!$A$2:$A$482,AF$4,Results!$H$2:$H$482,"DNF")&gt;0,"DNF","•")))</f>
        <v>DNF</v>
      </c>
      <c r="AG12" s="20" t="n">
        <f aca="false">IF(COUNTIFS(Results!$F$2:$F$482,$A12,Results!$A$2:$A$482,AG$4)=0,"",IF(COUNTIFS(Results!$F$2:$F$482,$A12,Results!$A$2:$A$482,AG$4,Results!$G$2:$G$482,"&gt;0")&gt;0,_xlfn.MINIFS(Results!$G$2:$G$482,Results!$F$2:$F$482,$A12,Results!$A$2:$A$482,AG$4,Results!$G$2:$G$482,"&gt;0"),IF(COUNTIFS(Results!$F$2:$F$482,$A12,Results!$A$2:$A$482,AG$4,Results!$H$2:$H$482,"DNF")&gt;0,"DNF","•")))</f>
        <v>1</v>
      </c>
      <c r="AH12" s="20" t="str">
        <f aca="false">IF(COUNTIFS(Results!$F$2:$F$482,$A12,Results!$A$2:$A$482,AH$4)=0,"",IF(COUNTIFS(Results!$F$2:$F$482,$A12,Results!$A$2:$A$482,AH$4,Results!$G$2:$G$482,"&gt;0")&gt;0,_xlfn.MINIFS(Results!$G$2:$G$482,Results!$F$2:$F$482,$A12,Results!$A$2:$A$482,AH$4,Results!$G$2:$G$482,"&gt;0"),IF(COUNTIFS(Results!$F$2:$F$482,$A12,Results!$A$2:$A$482,AH$4,Results!$H$2:$H$482,"DNF")&gt;0,"DNF","•")))</f>
        <v/>
      </c>
      <c r="AI12" s="20" t="str">
        <f aca="false">IF(COUNTIFS(Results!$F$2:$F$482,$A12,Results!$A$2:$A$482,AI$4)=0,"",IF(COUNTIFS(Results!$F$2:$F$482,$A12,Results!$A$2:$A$482,AI$4,Results!$G$2:$G$482,"&gt;0")&gt;0,_xlfn.MINIFS(Results!$G$2:$G$482,Results!$F$2:$F$482,$A12,Results!$A$2:$A$482,AI$4,Results!$G$2:$G$482,"&gt;0"),IF(COUNTIFS(Results!$F$2:$F$482,$A12,Results!$A$2:$A$482,AI$4,Results!$H$2:$H$482,"DNF")&gt;0,"DNF","•")))</f>
        <v>DNF</v>
      </c>
      <c r="AJ12" s="20" t="n">
        <f aca="false">IF(COUNTIFS(Results!$F$2:$F$482,$A12,Results!$A$2:$A$482,AJ$4)=0,"",IF(COUNTIFS(Results!$F$2:$F$482,$A12,Results!$A$2:$A$482,AJ$4,Results!$G$2:$G$482,"&gt;0")&gt;0,_xlfn.MINIFS(Results!$G$2:$G$482,Results!$F$2:$F$482,$A12,Results!$A$2:$A$482,AJ$4,Results!$G$2:$G$482,"&gt;0"),IF(COUNTIFS(Results!$F$2:$F$482,$A12,Results!$A$2:$A$482,AJ$4,Results!$H$2:$H$482,"DNF")&gt;0,"DNF","•")))</f>
        <v>4</v>
      </c>
      <c r="AK12" s="20" t="str">
        <f aca="false">IF(COUNTIFS(Results!$F$2:$F$482,$A12,Results!$A$2:$A$482,AK$4)=0,"",IF(COUNTIFS(Results!$F$2:$F$482,$A12,Results!$A$2:$A$482,AK$4,Results!$G$2:$G$482,"&gt;0")&gt;0,_xlfn.MINIFS(Results!$G$2:$G$482,Results!$F$2:$F$482,$A12,Results!$A$2:$A$482,AK$4,Results!$G$2:$G$482,"&gt;0"),IF(COUNTIFS(Results!$F$2:$F$482,$A12,Results!$A$2:$A$482,AK$4,Results!$H$2:$H$482,"DNF")&gt;0,"DNF","•")))</f>
        <v/>
      </c>
      <c r="AL12" s="20" t="str">
        <f aca="false">IF(COUNTIFS(Results!$F$2:$F$482,$A12,Results!$A$2:$A$482,AL$4)=0,"",IF(COUNTIFS(Results!$F$2:$F$482,$A12,Results!$A$2:$A$482,AL$4,Results!$G$2:$G$482,"&gt;0")&gt;0,_xlfn.MINIFS(Results!$G$2:$G$482,Results!$F$2:$F$482,$A12,Results!$A$2:$A$482,AL$4,Results!$G$2:$G$482,"&gt;0"),IF(COUNTIFS(Results!$F$2:$F$482,$A12,Results!$A$2:$A$482,AL$4,Results!$H$2:$H$482,"DNF")&gt;0,"DNF","•")))</f>
        <v/>
      </c>
      <c r="AM12" s="20" t="str">
        <f aca="false">IF(COUNTIFS(Results!$F$2:$F$482,$A12,Results!$A$2:$A$482,AM$4)=0,"",IF(COUNTIFS(Results!$F$2:$F$482,$A12,Results!$A$2:$A$482,AM$4,Results!$G$2:$G$482,"&gt;0")&gt;0,_xlfn.MINIFS(Results!$G$2:$G$482,Results!$F$2:$F$482,$A12,Results!$A$2:$A$482,AM$4,Results!$G$2:$G$482,"&gt;0"),IF(COUNTIFS(Results!$F$2:$F$482,$A12,Results!$A$2:$A$482,AM$4,Results!$H$2:$H$482,"DNF")&gt;0,"DNF","•")))</f>
        <v/>
      </c>
      <c r="AN12" s="20" t="str">
        <f aca="false">IF(COUNTIFS(Results!$F$2:$F$482,$A12,Results!$A$2:$A$482,AN$4)=0,"",IF(COUNTIFS(Results!$F$2:$F$482,$A12,Results!$A$2:$A$482,AN$4,Results!$G$2:$G$482,"&gt;0")&gt;0,_xlfn.MINIFS(Results!$G$2:$G$482,Results!$F$2:$F$482,$A12,Results!$A$2:$A$482,AN$4,Results!$G$2:$G$482,"&gt;0"),IF(COUNTIFS(Results!$F$2:$F$482,$A12,Results!$A$2:$A$482,AN$4,Results!$H$2:$H$482,"DNF")&gt;0,"DNF","•")))</f>
        <v/>
      </c>
      <c r="AO12" s="20" t="str">
        <f aca="false">IF(COUNTIFS(Results!$F$2:$F$482,$A12,Results!$A$2:$A$482,AO$4)=0,"",IF(COUNTIFS(Results!$F$2:$F$482,$A12,Results!$A$2:$A$482,AO$4,Results!$G$2:$G$482,"&gt;0")&gt;0,_xlfn.MINIFS(Results!$G$2:$G$482,Results!$F$2:$F$482,$A12,Results!$A$2:$A$482,AO$4,Results!$G$2:$G$482,"&gt;0"),IF(COUNTIFS(Results!$F$2:$F$482,$A12,Results!$A$2:$A$482,AO$4,Results!$H$2:$H$482,"DNF")&gt;0,"DNF","•")))</f>
        <v/>
      </c>
      <c r="AP12" s="20" t="str">
        <f aca="false">IF(COUNTIFS(Results!$F$2:$F$482,$A12,Results!$A$2:$A$482,AP$4)=0,"",IF(COUNTIFS(Results!$F$2:$F$482,$A12,Results!$A$2:$A$482,AP$4,Results!$G$2:$G$482,"&gt;0")&gt;0,_xlfn.MINIFS(Results!$G$2:$G$482,Results!$F$2:$F$482,$A12,Results!$A$2:$A$482,AP$4,Results!$G$2:$G$482,"&gt;0"),IF(COUNTIFS(Results!$F$2:$F$482,$A12,Results!$A$2:$A$482,AP$4,Results!$H$2:$H$482,"DNF")&gt;0,"DNF","•")))</f>
        <v/>
      </c>
      <c r="AQ12" s="20" t="str">
        <f aca="false">IF(COUNTIFS(Results!$F$2:$F$482,$A12,Results!$A$2:$A$482,AQ$4)=0,"",IF(COUNTIFS(Results!$F$2:$F$482,$A12,Results!$A$2:$A$482,AQ$4,Results!$G$2:$G$482,"&gt;0")&gt;0,_xlfn.MINIFS(Results!$G$2:$G$482,Results!$F$2:$F$482,$A12,Results!$A$2:$A$482,AQ$4,Results!$G$2:$G$482,"&gt;0"),IF(COUNTIFS(Results!$F$2:$F$482,$A12,Results!$A$2:$A$482,AQ$4,Results!$H$2:$H$482,"DNF")&gt;0,"DNF","•")))</f>
        <v/>
      </c>
      <c r="AR12" s="20" t="str">
        <f aca="false">IF(COUNTIFS(Results!$F$2:$F$482,$A12,Results!$A$2:$A$482,AR$4)=0,"",IF(COUNTIFS(Results!$F$2:$F$482,$A12,Results!$A$2:$A$482,AR$4,Results!$G$2:$G$482,"&gt;0")&gt;0,_xlfn.MINIFS(Results!$G$2:$G$482,Results!$F$2:$F$482,$A12,Results!$A$2:$A$482,AR$4,Results!$G$2:$G$482,"&gt;0"),IF(COUNTIFS(Results!$F$2:$F$482,$A12,Results!$A$2:$A$482,AR$4,Results!$H$2:$H$482,"DNF")&gt;0,"DNF","•")))</f>
        <v/>
      </c>
      <c r="AS12" s="20" t="n">
        <f aca="false">IF(COUNTIFS(Results!$F$2:$F$482,$A12,Results!$A$2:$A$482,AS$4)=0,"",IF(COUNTIFS(Results!$F$2:$F$482,$A12,Results!$A$2:$A$482,AS$4,Results!$G$2:$G$482,"&gt;0")&gt;0,_xlfn.MINIFS(Results!$G$2:$G$482,Results!$F$2:$F$482,$A12,Results!$A$2:$A$482,AS$4,Results!$G$2:$G$482,"&gt;0"),IF(COUNTIFS(Results!$F$2:$F$482,$A12,Results!$A$2:$A$482,AS$4,Results!$H$2:$H$482,"DNF")&gt;0,"DNF","•")))</f>
        <v>3</v>
      </c>
      <c r="AT12" s="20" t="n">
        <f aca="false">IF(COUNTIFS(Results!$F$2:$F$482,$A12,Results!$A$2:$A$482,AT$4)=0,"",IF(COUNTIFS(Results!$F$2:$F$482,$A12,Results!$A$2:$A$482,AT$4,Results!$G$2:$G$482,"&gt;0")&gt;0,_xlfn.MINIFS(Results!$G$2:$G$482,Results!$F$2:$F$482,$A12,Results!$A$2:$A$482,AT$4,Results!$G$2:$G$482,"&gt;0"),IF(COUNTIFS(Results!$F$2:$F$482,$A12,Results!$A$2:$A$482,AT$4,Results!$H$2:$H$482,"DNF")&gt;0,"DNF","•")))</f>
        <v>1</v>
      </c>
      <c r="AU12" s="20" t="str">
        <f aca="false">IF(COUNTIFS(Results!$F$2:$F$482,$A12,Results!$A$2:$A$482,AU$4)=0,"",IF(COUNTIFS(Results!$F$2:$F$482,$A12,Results!$A$2:$A$482,AU$4,Results!$G$2:$G$482,"&gt;0")&gt;0,_xlfn.MINIFS(Results!$G$2:$G$482,Results!$F$2:$F$482,$A12,Results!$A$2:$A$482,AU$4,Results!$G$2:$G$482,"&gt;0"),IF(COUNTIFS(Results!$F$2:$F$482,$A12,Results!$A$2:$A$482,AU$4,Results!$H$2:$H$482,"DNF")&gt;0,"DNF","•")))</f>
        <v/>
      </c>
      <c r="AV12" s="20" t="str">
        <f aca="false">IF(COUNTIFS(Results!$F$2:$F$482,$A12,Results!$A$2:$A$482,AV$4)=0,"",IF(COUNTIFS(Results!$F$2:$F$482,$A12,Results!$A$2:$A$482,AV$4,Results!$G$2:$G$482,"&gt;0")&gt;0,_xlfn.MINIFS(Results!$G$2:$G$482,Results!$F$2:$F$482,$A12,Results!$A$2:$A$482,AV$4,Results!$G$2:$G$482,"&gt;0"),IF(COUNTIFS(Results!$F$2:$F$482,$A12,Results!$A$2:$A$482,AV$4,Results!$H$2:$H$482,"DNF")&gt;0,"DNF","•")))</f>
        <v/>
      </c>
      <c r="AW12" s="20" t="str">
        <f aca="false">IF(COUNTIFS(Results!$F$2:$F$482,$A12,Results!$A$2:$A$482,AW$4)=0,"",IF(COUNTIFS(Results!$F$2:$F$482,$A12,Results!$A$2:$A$482,AW$4,Results!$G$2:$G$482,"&gt;0")&gt;0,_xlfn.MINIFS(Results!$G$2:$G$482,Results!$F$2:$F$482,$A12,Results!$A$2:$A$482,AW$4,Results!$G$2:$G$482,"&gt;0"),IF(COUNTIFS(Results!$F$2:$F$482,$A12,Results!$A$2:$A$482,AW$4,Results!$H$2:$H$482,"DNF")&gt;0,"DNF","•")))</f>
        <v/>
      </c>
      <c r="AX12" s="20" t="str">
        <f aca="false">IF(COUNTIFS(Results!$F$2:$F$482,$A12,Results!$A$2:$A$482,AX$4)=0,"",IF(COUNTIFS(Results!$F$2:$F$482,$A12,Results!$A$2:$A$482,AX$4,Results!$G$2:$G$482,"&gt;0")&gt;0,_xlfn.MINIFS(Results!$G$2:$G$482,Results!$F$2:$F$482,$A12,Results!$A$2:$A$482,AX$4,Results!$G$2:$G$482,"&gt;0"),IF(COUNTIFS(Results!$F$2:$F$482,$A12,Results!$A$2:$A$482,AX$4,Results!$H$2:$H$482,"DNF")&gt;0,"DNF","•")))</f>
        <v/>
      </c>
      <c r="AY12" s="20" t="str">
        <f aca="false">IF(COUNTIFS(Results!$F$2:$F$482,$A12,Results!$A$2:$A$482,AY$4)=0,"",IF(COUNTIFS(Results!$F$2:$F$482,$A12,Results!$A$2:$A$482,AY$4,Results!$G$2:$G$482,"&gt;0")&gt;0,_xlfn.MINIFS(Results!$G$2:$G$482,Results!$F$2:$F$482,$A12,Results!$A$2:$A$482,AY$4,Results!$G$2:$G$482,"&gt;0"),IF(COUNTIFS(Results!$F$2:$F$482,$A12,Results!$A$2:$A$482,AY$4,Results!$H$2:$H$482,"DNF")&gt;0,"DNF","•")))</f>
        <v/>
      </c>
      <c r="AZ12" s="20" t="str">
        <f aca="false">IF(COUNTIFS(Results!$F$2:$F$482,$A12,Results!$A$2:$A$482,AZ$4)=0,"",IF(COUNTIFS(Results!$F$2:$F$482,$A12,Results!$A$2:$A$482,AZ$4,Results!$G$2:$G$482,"&gt;0")&gt;0,_xlfn.MINIFS(Results!$G$2:$G$482,Results!$F$2:$F$482,$A12,Results!$A$2:$A$482,AZ$4,Results!$G$2:$G$482,"&gt;0"),IF(COUNTIFS(Results!$F$2:$F$482,$A12,Results!$A$2:$A$482,AZ$4,Results!$H$2:$H$482,"DNF")&gt;0,"DNF","•")))</f>
        <v/>
      </c>
      <c r="BA12" s="20" t="str">
        <f aca="false">IF(COUNTIFS(Results!$F$2:$F$482,$A12,Results!$A$2:$A$482,BA$4)=0,"",IF(COUNTIFS(Results!$F$2:$F$482,$A12,Results!$A$2:$A$482,BA$4,Results!$G$2:$G$482,"&gt;0")&gt;0,_xlfn.MINIFS(Results!$G$2:$G$482,Results!$F$2:$F$482,$A12,Results!$A$2:$A$482,BA$4,Results!$G$2:$G$482,"&gt;0"),IF(COUNTIFS(Results!$F$2:$F$482,$A12,Results!$A$2:$A$482,BA$4,Results!$H$2:$H$482,"DNF")&gt;0,"DNF","•")))</f>
        <v/>
      </c>
      <c r="BB12" s="20" t="str">
        <f aca="false">IF(COUNTIFS(Results!$F$2:$F$482,$A12,Results!$A$2:$A$482,BB$4)=0,"",IF(COUNTIFS(Results!$F$2:$F$482,$A12,Results!$A$2:$A$482,BB$4,Results!$G$2:$G$482,"&gt;0")&gt;0,_xlfn.MINIFS(Results!$G$2:$G$482,Results!$F$2:$F$482,$A12,Results!$A$2:$A$482,BB$4,Results!$G$2:$G$482,"&gt;0"),IF(COUNTIFS(Results!$F$2:$F$482,$A12,Results!$A$2:$A$482,BB$4,Results!$H$2:$H$482,"DNF")&gt;0,"DNF","•")))</f>
        <v/>
      </c>
      <c r="BC12" s="20" t="str">
        <f aca="false">IF(COUNTIFS(Results!$F$2:$F$482,$A12,Results!$A$2:$A$482,BC$4)=0,"",IF(COUNTIFS(Results!$F$2:$F$482,$A12,Results!$A$2:$A$482,BC$4,Results!$G$2:$G$482,"&gt;0")&gt;0,_xlfn.MINIFS(Results!$G$2:$G$482,Results!$F$2:$F$482,$A12,Results!$A$2:$A$482,BC$4,Results!$G$2:$G$482,"&gt;0"),IF(COUNTIFS(Results!$F$2:$F$482,$A12,Results!$A$2:$A$482,BC$4,Results!$H$2:$H$482,"DNF")&gt;0,"DNF","•")))</f>
        <v/>
      </c>
      <c r="BD12" s="20" t="str">
        <f aca="false">IF(COUNTIFS(Results!$F$2:$F$482,$A12,Results!$A$2:$A$482,BD$4)=0,"",IF(COUNTIFS(Results!$F$2:$F$482,$A12,Results!$A$2:$A$482,BD$4,Results!$G$2:$G$482,"&gt;0")&gt;0,_xlfn.MINIFS(Results!$G$2:$G$482,Results!$F$2:$F$482,$A12,Results!$A$2:$A$482,BD$4,Results!$G$2:$G$482,"&gt;0"),IF(COUNTIFS(Results!$F$2:$F$482,$A12,Results!$A$2:$A$482,BD$4,Results!$H$2:$H$482,"DNF")&gt;0,"DNF","•")))</f>
        <v/>
      </c>
      <c r="BE12" s="20" t="n">
        <f aca="false">IF(COUNTIFS(Results!$F$2:$F$482,$A12,Results!$A$2:$A$482,BE$4)=0,"",IF(COUNTIFS(Results!$F$2:$F$482,$A12,Results!$A$2:$A$482,BE$4,Results!$G$2:$G$482,"&gt;0")&gt;0,_xlfn.MINIFS(Results!$G$2:$G$482,Results!$F$2:$F$482,$A12,Results!$A$2:$A$482,BE$4,Results!$G$2:$G$482,"&gt;0"),IF(COUNTIFS(Results!$F$2:$F$482,$A12,Results!$A$2:$A$482,BE$4,Results!$H$2:$H$482,"DNF")&gt;0,"DNF","•")))</f>
        <v>2</v>
      </c>
      <c r="BF12" s="20" t="str">
        <f aca="false">IF(COUNTIFS(Results!$F$2:$F$482,$A12,Results!$A$2:$A$482,BF$4)=0,"",IF(COUNTIFS(Results!$F$2:$F$482,$A12,Results!$A$2:$A$482,BF$4,Results!$G$2:$G$482,"&gt;0")&gt;0,_xlfn.MINIFS(Results!$G$2:$G$482,Results!$F$2:$F$482,$A12,Results!$A$2:$A$482,BF$4,Results!$G$2:$G$482,"&gt;0"),IF(COUNTIFS(Results!$F$2:$F$482,$A12,Results!$A$2:$A$482,BF$4,Results!$H$2:$H$482,"DNF")&gt;0,"DNF","•")))</f>
        <v/>
      </c>
      <c r="BG12" s="20" t="n">
        <f aca="false">IF(COUNTIFS(Results!$F$2:$F$482,$A12,Results!$A$2:$A$482,BG$4)=0,"",IF(COUNTIFS(Results!$F$2:$F$482,$A12,Results!$A$2:$A$482,BG$4,Results!$G$2:$G$482,"&gt;0")&gt;0,_xlfn.MINIFS(Results!$G$2:$G$482,Results!$F$2:$F$482,$A12,Results!$A$2:$A$482,BG$4,Results!$G$2:$G$482,"&gt;0"),IF(COUNTIFS(Results!$F$2:$F$482,$A12,Results!$A$2:$A$482,BG$4,Results!$H$2:$H$482,"DNF")&gt;0,"DNF","•")))</f>
        <v>1</v>
      </c>
      <c r="BH12" s="20" t="str">
        <f aca="false">IF(COUNTIFS(Results!$F$2:$F$482,$A12,Results!$A$2:$A$482,BH$4)=0,"",IF(COUNTIFS(Results!$F$2:$F$482,$A12,Results!$A$2:$A$482,BH$4,Results!$G$2:$G$482,"&gt;0")&gt;0,_xlfn.MINIFS(Results!$G$2:$G$482,Results!$F$2:$F$482,$A12,Results!$A$2:$A$482,BH$4,Results!$G$2:$G$482,"&gt;0"),IF(COUNTIFS(Results!$F$2:$F$482,$A12,Results!$A$2:$A$482,BH$4,Results!$H$2:$H$482,"DNF")&gt;0,"DNF","•")))</f>
        <v/>
      </c>
      <c r="BI12" s="20" t="str">
        <f aca="false">IF(COUNTIFS(Results!$F$2:$F$482,$A12,Results!$A$2:$A$482,BI$4)=0,"",IF(COUNTIFS(Results!$F$2:$F$482,$A12,Results!$A$2:$A$482,BI$4,Results!$G$2:$G$482,"&gt;0")&gt;0,_xlfn.MINIFS(Results!$G$2:$G$482,Results!$F$2:$F$482,$A12,Results!$A$2:$A$482,BI$4,Results!$G$2:$G$482,"&gt;0"),IF(COUNTIFS(Results!$F$2:$F$482,$A12,Results!$A$2:$A$482,BI$4,Results!$H$2:$H$482,"DNF")&gt;0,"DNF","•")))</f>
        <v/>
      </c>
      <c r="BJ12" s="20" t="str">
        <f aca="false">IF(COUNTIFS(Results!$F$2:$F$482,$A12,Results!$A$2:$A$482,BJ$4)=0,"",IF(COUNTIFS(Results!$F$2:$F$482,$A12,Results!$A$2:$A$482,BJ$4,Results!$G$2:$G$482,"&gt;0")&gt;0,_xlfn.MINIFS(Results!$G$2:$G$482,Results!$F$2:$F$482,$A12,Results!$A$2:$A$482,BJ$4,Results!$G$2:$G$482,"&gt;0"),IF(COUNTIFS(Results!$F$2:$F$482,$A12,Results!$A$2:$A$482,BJ$4,Results!$H$2:$H$482,"DNF")&gt;0,"DNF","•")))</f>
        <v/>
      </c>
      <c r="BK12" s="20" t="str">
        <f aca="false">IF(COUNTIFS(Results!$F$2:$F$482,$A12,Results!$A$2:$A$482,BK$4)=0,"",IF(COUNTIFS(Results!$F$2:$F$482,$A12,Results!$A$2:$A$482,BK$4,Results!$G$2:$G$482,"&gt;0")&gt;0,_xlfn.MINIFS(Results!$G$2:$G$482,Results!$F$2:$F$482,$A12,Results!$A$2:$A$482,BK$4,Results!$G$2:$G$482,"&gt;0"),IF(COUNTIFS(Results!$F$2:$F$482,$A12,Results!$A$2:$A$482,BK$4,Results!$H$2:$H$482,"DNF")&gt;0,"DNF","•")))</f>
        <v/>
      </c>
      <c r="BL12" s="20" t="n">
        <f aca="false">IF(COUNTIFS(Results!$F$2:$F$482,$A12,Results!$A$2:$A$482,BL$4)=0,"",IF(COUNTIFS(Results!$F$2:$F$482,$A12,Results!$A$2:$A$482,BL$4,Results!$G$2:$G$482,"&gt;0")&gt;0,_xlfn.MINIFS(Results!$G$2:$G$482,Results!$F$2:$F$482,$A12,Results!$A$2:$A$482,BL$4,Results!$G$2:$G$482,"&gt;0"),IF(COUNTIFS(Results!$F$2:$F$482,$A12,Results!$A$2:$A$482,BL$4,Results!$H$2:$H$482,"DNF")&gt;0,"DNF","•")))</f>
        <v>1</v>
      </c>
    </row>
    <row r="13" customFormat="false" ht="15" hidden="false" customHeight="false" outlineLevel="0" collapsed="false">
      <c r="A13" s="7" t="str">
        <f aca="false">Riders!A11</f>
        <v>Urszula Sipko</v>
      </c>
      <c r="B13" s="20" t="str">
        <f aca="false">IF(COUNTIFS(Results!$F$2:$F$482,$A13,Results!$A$2:$A$482,B$4)=0,"",IF(COUNTIFS(Results!$F$2:$F$482,$A13,Results!$A$2:$A$482,B$4,Results!$G$2:$G$482,"&gt;0")&gt;0,_xlfn.MINIFS(Results!$G$2:$G$482,Results!$F$2:$F$482,$A13,Results!$A$2:$A$482,B$4,Results!$G$2:$G$482,"&gt;0"),IF(COUNTIFS(Results!$F$2:$F$482,$A13,Results!$A$2:$A$482,B$4,Results!$H$2:$H$482,"DNF")&gt;0,"DNF","•")))</f>
        <v/>
      </c>
      <c r="C13" s="20" t="str">
        <f aca="false">IF(COUNTIFS(Results!$F$2:$F$482,$A13,Results!$A$2:$A$482,C$4)=0,"",IF(COUNTIFS(Results!$F$2:$F$482,$A13,Results!$A$2:$A$482,C$4,Results!$G$2:$G$482,"&gt;0")&gt;0,_xlfn.MINIFS(Results!$G$2:$G$482,Results!$F$2:$F$482,$A13,Results!$A$2:$A$482,C$4,Results!$G$2:$G$482,"&gt;0"),IF(COUNTIFS(Results!$F$2:$F$482,$A13,Results!$A$2:$A$482,C$4,Results!$H$2:$H$482,"DNF")&gt;0,"DNF","•")))</f>
        <v/>
      </c>
      <c r="D13" s="20" t="str">
        <f aca="false">IF(COUNTIFS(Results!$F$2:$F$482,$A13,Results!$A$2:$A$482,D$4)=0,"",IF(COUNTIFS(Results!$F$2:$F$482,$A13,Results!$A$2:$A$482,D$4,Results!$G$2:$G$482,"&gt;0")&gt;0,_xlfn.MINIFS(Results!$G$2:$G$482,Results!$F$2:$F$482,$A13,Results!$A$2:$A$482,D$4,Results!$G$2:$G$482,"&gt;0"),IF(COUNTIFS(Results!$F$2:$F$482,$A13,Results!$A$2:$A$482,D$4,Results!$H$2:$H$482,"DNF")&gt;0,"DNF","•")))</f>
        <v/>
      </c>
      <c r="E13" s="20" t="str">
        <f aca="false">IF(COUNTIFS(Results!$F$2:$F$482,$A13,Results!$A$2:$A$482,E$4)=0,"",IF(COUNTIFS(Results!$F$2:$F$482,$A13,Results!$A$2:$A$482,E$4,Results!$G$2:$G$482,"&gt;0")&gt;0,_xlfn.MINIFS(Results!$G$2:$G$482,Results!$F$2:$F$482,$A13,Results!$A$2:$A$482,E$4,Results!$G$2:$G$482,"&gt;0"),IF(COUNTIFS(Results!$F$2:$F$482,$A13,Results!$A$2:$A$482,E$4,Results!$H$2:$H$482,"DNF")&gt;0,"DNF","•")))</f>
        <v/>
      </c>
      <c r="F13" s="20" t="str">
        <f aca="false">IF(COUNTIFS(Results!$F$2:$F$482,$A13,Results!$A$2:$A$482,F$4)=0,"",IF(COUNTIFS(Results!$F$2:$F$482,$A13,Results!$A$2:$A$482,F$4,Results!$G$2:$G$482,"&gt;0")&gt;0,_xlfn.MINIFS(Results!$G$2:$G$482,Results!$F$2:$F$482,$A13,Results!$A$2:$A$482,F$4,Results!$G$2:$G$482,"&gt;0"),IF(COUNTIFS(Results!$F$2:$F$482,$A13,Results!$A$2:$A$482,F$4,Results!$H$2:$H$482,"DNF")&gt;0,"DNF","•")))</f>
        <v/>
      </c>
      <c r="G13" s="20" t="str">
        <f aca="false">IF(COUNTIFS(Results!$F$2:$F$482,$A13,Results!$A$2:$A$482,G$4)=0,"",IF(COUNTIFS(Results!$F$2:$F$482,$A13,Results!$A$2:$A$482,G$4,Results!$G$2:$G$482,"&gt;0")&gt;0,_xlfn.MINIFS(Results!$G$2:$G$482,Results!$F$2:$F$482,$A13,Results!$A$2:$A$482,G$4,Results!$G$2:$G$482,"&gt;0"),IF(COUNTIFS(Results!$F$2:$F$482,$A13,Results!$A$2:$A$482,G$4,Results!$H$2:$H$482,"DNF")&gt;0,"DNF","•")))</f>
        <v/>
      </c>
      <c r="H13" s="20" t="str">
        <f aca="false">IF(COUNTIFS(Results!$F$2:$F$482,$A13,Results!$A$2:$A$482,H$4)=0,"",IF(COUNTIFS(Results!$F$2:$F$482,$A13,Results!$A$2:$A$482,H$4,Results!$G$2:$G$482,"&gt;0")&gt;0,_xlfn.MINIFS(Results!$G$2:$G$482,Results!$F$2:$F$482,$A13,Results!$A$2:$A$482,H$4,Results!$G$2:$G$482,"&gt;0"),IF(COUNTIFS(Results!$F$2:$F$482,$A13,Results!$A$2:$A$482,H$4,Results!$H$2:$H$482,"DNF")&gt;0,"DNF","•")))</f>
        <v/>
      </c>
      <c r="I13" s="20" t="n">
        <f aca="false">IF(COUNTIFS(Results!$F$2:$F$482,$A13,Results!$A$2:$A$482,I$4)=0,"",IF(COUNTIFS(Results!$F$2:$F$482,$A13,Results!$A$2:$A$482,I$4,Results!$G$2:$G$482,"&gt;0")&gt;0,_xlfn.MINIFS(Results!$G$2:$G$482,Results!$F$2:$F$482,$A13,Results!$A$2:$A$482,I$4,Results!$G$2:$G$482,"&gt;0"),IF(COUNTIFS(Results!$F$2:$F$482,$A13,Results!$A$2:$A$482,I$4,Results!$H$2:$H$482,"DNF")&gt;0,"DNF","•")))</f>
        <v>45</v>
      </c>
      <c r="J13" s="20" t="str">
        <f aca="false">IF(COUNTIFS(Results!$F$2:$F$482,$A13,Results!$A$2:$A$482,J$4)=0,"",IF(COUNTIFS(Results!$F$2:$F$482,$A13,Results!$A$2:$A$482,J$4,Results!$G$2:$G$482,"&gt;0")&gt;0,_xlfn.MINIFS(Results!$G$2:$G$482,Results!$F$2:$F$482,$A13,Results!$A$2:$A$482,J$4,Results!$G$2:$G$482,"&gt;0"),IF(COUNTIFS(Results!$F$2:$F$482,$A13,Results!$A$2:$A$482,J$4,Results!$H$2:$H$482,"DNF")&gt;0,"DNF","•")))</f>
        <v/>
      </c>
      <c r="K13" s="20" t="str">
        <f aca="false">IF(COUNTIFS(Results!$F$2:$F$482,$A13,Results!$A$2:$A$482,K$4)=0,"",IF(COUNTIFS(Results!$F$2:$F$482,$A13,Results!$A$2:$A$482,K$4,Results!$G$2:$G$482,"&gt;0")&gt;0,_xlfn.MINIFS(Results!$G$2:$G$482,Results!$F$2:$F$482,$A13,Results!$A$2:$A$482,K$4,Results!$G$2:$G$482,"&gt;0"),IF(COUNTIFS(Results!$F$2:$F$482,$A13,Results!$A$2:$A$482,K$4,Results!$H$2:$H$482,"DNF")&gt;0,"DNF","•")))</f>
        <v/>
      </c>
      <c r="L13" s="20" t="n">
        <f aca="false">IF(COUNTIFS(Results!$F$2:$F$482,$A13,Results!$A$2:$A$482,L$4)=0,"",IF(COUNTIFS(Results!$F$2:$F$482,$A13,Results!$A$2:$A$482,L$4,Results!$G$2:$G$482,"&gt;0")&gt;0,_xlfn.MINIFS(Results!$G$2:$G$482,Results!$F$2:$F$482,$A13,Results!$A$2:$A$482,L$4,Results!$G$2:$G$482,"&gt;0"),IF(COUNTIFS(Results!$F$2:$F$482,$A13,Results!$A$2:$A$482,L$4,Results!$H$2:$H$482,"DNF")&gt;0,"DNF","•")))</f>
        <v>58</v>
      </c>
      <c r="M13" s="20" t="str">
        <f aca="false">IF(COUNTIFS(Results!$F$2:$F$482,$A13,Results!$A$2:$A$482,M$4)=0,"",IF(COUNTIFS(Results!$F$2:$F$482,$A13,Results!$A$2:$A$482,M$4,Results!$G$2:$G$482,"&gt;0")&gt;0,_xlfn.MINIFS(Results!$G$2:$G$482,Results!$F$2:$F$482,$A13,Results!$A$2:$A$482,M$4,Results!$G$2:$G$482,"&gt;0"),IF(COUNTIFS(Results!$F$2:$F$482,$A13,Results!$A$2:$A$482,M$4,Results!$H$2:$H$482,"DNF")&gt;0,"DNF","•")))</f>
        <v>DNF</v>
      </c>
      <c r="N13" s="20" t="str">
        <f aca="false">IF(COUNTIFS(Results!$F$2:$F$482,$A13,Results!$A$2:$A$482,N$4)=0,"",IF(COUNTIFS(Results!$F$2:$F$482,$A13,Results!$A$2:$A$482,N$4,Results!$G$2:$G$482,"&gt;0")&gt;0,_xlfn.MINIFS(Results!$G$2:$G$482,Results!$F$2:$F$482,$A13,Results!$A$2:$A$482,N$4,Results!$G$2:$G$482,"&gt;0"),IF(COUNTIFS(Results!$F$2:$F$482,$A13,Results!$A$2:$A$482,N$4,Results!$H$2:$H$482,"DNF")&gt;0,"DNF","•")))</f>
        <v/>
      </c>
      <c r="O13" s="20" t="n">
        <f aca="false">IF(COUNTIFS(Results!$F$2:$F$482,$A13,Results!$A$2:$A$482,O$4)=0,"",IF(COUNTIFS(Results!$F$2:$F$482,$A13,Results!$A$2:$A$482,O$4,Results!$G$2:$G$482,"&gt;0")&gt;0,_xlfn.MINIFS(Results!$G$2:$G$482,Results!$F$2:$F$482,$A13,Results!$A$2:$A$482,O$4,Results!$G$2:$G$482,"&gt;0"),IF(COUNTIFS(Results!$F$2:$F$482,$A13,Results!$A$2:$A$482,O$4,Results!$H$2:$H$482,"DNF")&gt;0,"DNF","•")))</f>
        <v>60</v>
      </c>
      <c r="P13" s="20" t="str">
        <f aca="false">IF(COUNTIFS(Results!$F$2:$F$482,$A13,Results!$A$2:$A$482,P$4)=0,"",IF(COUNTIFS(Results!$F$2:$F$482,$A13,Results!$A$2:$A$482,P$4,Results!$G$2:$G$482,"&gt;0")&gt;0,_xlfn.MINIFS(Results!$G$2:$G$482,Results!$F$2:$F$482,$A13,Results!$A$2:$A$482,P$4,Results!$G$2:$G$482,"&gt;0"),IF(COUNTIFS(Results!$F$2:$F$482,$A13,Results!$A$2:$A$482,P$4,Results!$H$2:$H$482,"DNF")&gt;0,"DNF","•")))</f>
        <v/>
      </c>
      <c r="Q13" s="20" t="str">
        <f aca="false">IF(COUNTIFS(Results!$F$2:$F$482,$A13,Results!$A$2:$A$482,Q$4)=0,"",IF(COUNTIFS(Results!$F$2:$F$482,$A13,Results!$A$2:$A$482,Q$4,Results!$G$2:$G$482,"&gt;0")&gt;0,_xlfn.MINIFS(Results!$G$2:$G$482,Results!$F$2:$F$482,$A13,Results!$A$2:$A$482,Q$4,Results!$G$2:$G$482,"&gt;0"),IF(COUNTIFS(Results!$F$2:$F$482,$A13,Results!$A$2:$A$482,Q$4,Results!$H$2:$H$482,"DNF")&gt;0,"DNF","•")))</f>
        <v/>
      </c>
      <c r="R13" s="20" t="str">
        <f aca="false">IF(COUNTIFS(Results!$F$2:$F$482,$A13,Results!$A$2:$A$482,R$4)=0,"",IF(COUNTIFS(Results!$F$2:$F$482,$A13,Results!$A$2:$A$482,R$4,Results!$G$2:$G$482,"&gt;0")&gt;0,_xlfn.MINIFS(Results!$G$2:$G$482,Results!$F$2:$F$482,$A13,Results!$A$2:$A$482,R$4,Results!$G$2:$G$482,"&gt;0"),IF(COUNTIFS(Results!$F$2:$F$482,$A13,Results!$A$2:$A$482,R$4,Results!$H$2:$H$482,"DNF")&gt;0,"DNF","•")))</f>
        <v/>
      </c>
      <c r="S13" s="20" t="str">
        <f aca="false">IF(COUNTIFS(Results!$F$2:$F$482,$A13,Results!$A$2:$A$482,S$4)=0,"",IF(COUNTIFS(Results!$F$2:$F$482,$A13,Results!$A$2:$A$482,S$4,Results!$G$2:$G$482,"&gt;0")&gt;0,_xlfn.MINIFS(Results!$G$2:$G$482,Results!$F$2:$F$482,$A13,Results!$A$2:$A$482,S$4,Results!$G$2:$G$482,"&gt;0"),IF(COUNTIFS(Results!$F$2:$F$482,$A13,Results!$A$2:$A$482,S$4,Results!$H$2:$H$482,"DNF")&gt;0,"DNF","•")))</f>
        <v/>
      </c>
      <c r="T13" s="20" t="n">
        <f aca="false">IF(COUNTIFS(Results!$F$2:$F$482,$A13,Results!$A$2:$A$482,T$4)=0,"",IF(COUNTIFS(Results!$F$2:$F$482,$A13,Results!$A$2:$A$482,T$4,Results!$G$2:$G$482,"&gt;0")&gt;0,_xlfn.MINIFS(Results!$G$2:$G$482,Results!$F$2:$F$482,$A13,Results!$A$2:$A$482,T$4,Results!$G$2:$G$482,"&gt;0"),IF(COUNTIFS(Results!$F$2:$F$482,$A13,Results!$A$2:$A$482,T$4,Results!$H$2:$H$482,"DNF")&gt;0,"DNF","•")))</f>
        <v>1</v>
      </c>
      <c r="U13" s="20" t="n">
        <f aca="false">IF(COUNTIFS(Results!$F$2:$F$482,$A13,Results!$A$2:$A$482,U$4)=0,"",IF(COUNTIFS(Results!$F$2:$F$482,$A13,Results!$A$2:$A$482,U$4,Results!$G$2:$G$482,"&gt;0")&gt;0,_xlfn.MINIFS(Results!$G$2:$G$482,Results!$F$2:$F$482,$A13,Results!$A$2:$A$482,U$4,Results!$G$2:$G$482,"&gt;0"),IF(COUNTIFS(Results!$F$2:$F$482,$A13,Results!$A$2:$A$482,U$4,Results!$H$2:$H$482,"DNF")&gt;0,"DNF","•")))</f>
        <v>1</v>
      </c>
      <c r="V13" s="20" t="str">
        <f aca="false">IF(COUNTIFS(Results!$F$2:$F$482,$A13,Results!$A$2:$A$482,V$4)=0,"",IF(COUNTIFS(Results!$F$2:$F$482,$A13,Results!$A$2:$A$482,V$4,Results!$G$2:$G$482,"&gt;0")&gt;0,_xlfn.MINIFS(Results!$G$2:$G$482,Results!$F$2:$F$482,$A13,Results!$A$2:$A$482,V$4,Results!$G$2:$G$482,"&gt;0"),IF(COUNTIFS(Results!$F$2:$F$482,$A13,Results!$A$2:$A$482,V$4,Results!$H$2:$H$482,"DNF")&gt;0,"DNF","•")))</f>
        <v/>
      </c>
      <c r="W13" s="20" t="str">
        <f aca="false">IF(COUNTIFS(Results!$F$2:$F$482,$A13,Results!$A$2:$A$482,W$4)=0,"",IF(COUNTIFS(Results!$F$2:$F$482,$A13,Results!$A$2:$A$482,W$4,Results!$G$2:$G$482,"&gt;0")&gt;0,_xlfn.MINIFS(Results!$G$2:$G$482,Results!$F$2:$F$482,$A13,Results!$A$2:$A$482,W$4,Results!$G$2:$G$482,"&gt;0"),IF(COUNTIFS(Results!$F$2:$F$482,$A13,Results!$A$2:$A$482,W$4,Results!$H$2:$H$482,"DNF")&gt;0,"DNF","•")))</f>
        <v/>
      </c>
      <c r="X13" s="20" t="str">
        <f aca="false">IF(COUNTIFS(Results!$F$2:$F$482,$A13,Results!$A$2:$A$482,X$4)=0,"",IF(COUNTIFS(Results!$F$2:$F$482,$A13,Results!$A$2:$A$482,X$4,Results!$G$2:$G$482,"&gt;0")&gt;0,_xlfn.MINIFS(Results!$G$2:$G$482,Results!$F$2:$F$482,$A13,Results!$A$2:$A$482,X$4,Results!$G$2:$G$482,"&gt;0"),IF(COUNTIFS(Results!$F$2:$F$482,$A13,Results!$A$2:$A$482,X$4,Results!$H$2:$H$482,"DNF")&gt;0,"DNF","•")))</f>
        <v/>
      </c>
      <c r="Y13" s="20" t="n">
        <f aca="false">IF(COUNTIFS(Results!$F$2:$F$482,$A13,Results!$A$2:$A$482,Y$4)=0,"",IF(COUNTIFS(Results!$F$2:$F$482,$A13,Results!$A$2:$A$482,Y$4,Results!$G$2:$G$482,"&gt;0")&gt;0,_xlfn.MINIFS(Results!$G$2:$G$482,Results!$F$2:$F$482,$A13,Results!$A$2:$A$482,Y$4,Results!$G$2:$G$482,"&gt;0"),IF(COUNTIFS(Results!$F$2:$F$482,$A13,Results!$A$2:$A$482,Y$4,Results!$H$2:$H$482,"DNF")&gt;0,"DNF","•")))</f>
        <v>9</v>
      </c>
      <c r="Z13" s="20" t="str">
        <f aca="false">IF(COUNTIFS(Results!$F$2:$F$482,$A13,Results!$A$2:$A$482,Z$4)=0,"",IF(COUNTIFS(Results!$F$2:$F$482,$A13,Results!$A$2:$A$482,Z$4,Results!$G$2:$G$482,"&gt;0")&gt;0,_xlfn.MINIFS(Results!$G$2:$G$482,Results!$F$2:$F$482,$A13,Results!$A$2:$A$482,Z$4,Results!$G$2:$G$482,"&gt;0"),IF(COUNTIFS(Results!$F$2:$F$482,$A13,Results!$A$2:$A$482,Z$4,Results!$H$2:$H$482,"DNF")&gt;0,"DNF","•")))</f>
        <v/>
      </c>
      <c r="AA13" s="20" t="str">
        <f aca="false">IF(COUNTIFS(Results!$F$2:$F$482,$A13,Results!$A$2:$A$482,AA$4)=0,"",IF(COUNTIFS(Results!$F$2:$F$482,$A13,Results!$A$2:$A$482,AA$4,Results!$G$2:$G$482,"&gt;0")&gt;0,_xlfn.MINIFS(Results!$G$2:$G$482,Results!$F$2:$F$482,$A13,Results!$A$2:$A$482,AA$4,Results!$G$2:$G$482,"&gt;0"),IF(COUNTIFS(Results!$F$2:$F$482,$A13,Results!$A$2:$A$482,AA$4,Results!$H$2:$H$482,"DNF")&gt;0,"DNF","•")))</f>
        <v/>
      </c>
      <c r="AB13" s="20" t="str">
        <f aca="false">IF(COUNTIFS(Results!$F$2:$F$482,$A13,Results!$A$2:$A$482,AB$4)=0,"",IF(COUNTIFS(Results!$F$2:$F$482,$A13,Results!$A$2:$A$482,AB$4,Results!$G$2:$G$482,"&gt;0")&gt;0,_xlfn.MINIFS(Results!$G$2:$G$482,Results!$F$2:$F$482,$A13,Results!$A$2:$A$482,AB$4,Results!$G$2:$G$482,"&gt;0"),IF(COUNTIFS(Results!$F$2:$F$482,$A13,Results!$A$2:$A$482,AB$4,Results!$H$2:$H$482,"DNF")&gt;0,"DNF","•")))</f>
        <v/>
      </c>
      <c r="AC13" s="20" t="str">
        <f aca="false">IF(COUNTIFS(Results!$F$2:$F$482,$A13,Results!$A$2:$A$482,AC$4)=0,"",IF(COUNTIFS(Results!$F$2:$F$482,$A13,Results!$A$2:$A$482,AC$4,Results!$G$2:$G$482,"&gt;0")&gt;0,_xlfn.MINIFS(Results!$G$2:$G$482,Results!$F$2:$F$482,$A13,Results!$A$2:$A$482,AC$4,Results!$G$2:$G$482,"&gt;0"),IF(COUNTIFS(Results!$F$2:$F$482,$A13,Results!$A$2:$A$482,AC$4,Results!$H$2:$H$482,"DNF")&gt;0,"DNF","•")))</f>
        <v/>
      </c>
      <c r="AD13" s="20" t="str">
        <f aca="false">IF(COUNTIFS(Results!$F$2:$F$482,$A13,Results!$A$2:$A$482,AD$4)=0,"",IF(COUNTIFS(Results!$F$2:$F$482,$A13,Results!$A$2:$A$482,AD$4,Results!$G$2:$G$482,"&gt;0")&gt;0,_xlfn.MINIFS(Results!$G$2:$G$482,Results!$F$2:$F$482,$A13,Results!$A$2:$A$482,AD$4,Results!$G$2:$G$482,"&gt;0"),IF(COUNTIFS(Results!$F$2:$F$482,$A13,Results!$A$2:$A$482,AD$4,Results!$H$2:$H$482,"DNF")&gt;0,"DNF","•")))</f>
        <v/>
      </c>
      <c r="AE13" s="20" t="str">
        <f aca="false">IF(COUNTIFS(Results!$F$2:$F$482,$A13,Results!$A$2:$A$482,AE$4)=0,"",IF(COUNTIFS(Results!$F$2:$F$482,$A13,Results!$A$2:$A$482,AE$4,Results!$G$2:$G$482,"&gt;0")&gt;0,_xlfn.MINIFS(Results!$G$2:$G$482,Results!$F$2:$F$482,$A13,Results!$A$2:$A$482,AE$4,Results!$G$2:$G$482,"&gt;0"),IF(COUNTIFS(Results!$F$2:$F$482,$A13,Results!$A$2:$A$482,AE$4,Results!$H$2:$H$482,"DNF")&gt;0,"DNF","•")))</f>
        <v/>
      </c>
      <c r="AF13" s="20" t="str">
        <f aca="false">IF(COUNTIFS(Results!$F$2:$F$482,$A13,Results!$A$2:$A$482,AF$4)=0,"",IF(COUNTIFS(Results!$F$2:$F$482,$A13,Results!$A$2:$A$482,AF$4,Results!$G$2:$G$482,"&gt;0")&gt;0,_xlfn.MINIFS(Results!$G$2:$G$482,Results!$F$2:$F$482,$A13,Results!$A$2:$A$482,AF$4,Results!$G$2:$G$482,"&gt;0"),IF(COUNTIFS(Results!$F$2:$F$482,$A13,Results!$A$2:$A$482,AF$4,Results!$H$2:$H$482,"DNF")&gt;0,"DNF","•")))</f>
        <v>DNF</v>
      </c>
      <c r="AG13" s="20" t="str">
        <f aca="false">IF(COUNTIFS(Results!$F$2:$F$482,$A13,Results!$A$2:$A$482,AG$4)=0,"",IF(COUNTIFS(Results!$F$2:$F$482,$A13,Results!$A$2:$A$482,AG$4,Results!$G$2:$G$482,"&gt;0")&gt;0,_xlfn.MINIFS(Results!$G$2:$G$482,Results!$F$2:$F$482,$A13,Results!$A$2:$A$482,AG$4,Results!$G$2:$G$482,"&gt;0"),IF(COUNTIFS(Results!$F$2:$F$482,$A13,Results!$A$2:$A$482,AG$4,Results!$H$2:$H$482,"DNF")&gt;0,"DNF","•")))</f>
        <v/>
      </c>
      <c r="AH13" s="20" t="str">
        <f aca="false">IF(COUNTIFS(Results!$F$2:$F$482,$A13,Results!$A$2:$A$482,AH$4)=0,"",IF(COUNTIFS(Results!$F$2:$F$482,$A13,Results!$A$2:$A$482,AH$4,Results!$G$2:$G$482,"&gt;0")&gt;0,_xlfn.MINIFS(Results!$G$2:$G$482,Results!$F$2:$F$482,$A13,Results!$A$2:$A$482,AH$4,Results!$G$2:$G$482,"&gt;0"),IF(COUNTIFS(Results!$F$2:$F$482,$A13,Results!$A$2:$A$482,AH$4,Results!$H$2:$H$482,"DNF")&gt;0,"DNF","•")))</f>
        <v/>
      </c>
      <c r="AI13" s="20" t="n">
        <f aca="false">IF(COUNTIFS(Results!$F$2:$F$482,$A13,Results!$A$2:$A$482,AI$4)=0,"",IF(COUNTIFS(Results!$F$2:$F$482,$A13,Results!$A$2:$A$482,AI$4,Results!$G$2:$G$482,"&gt;0")&gt;0,_xlfn.MINIFS(Results!$G$2:$G$482,Results!$F$2:$F$482,$A13,Results!$A$2:$A$482,AI$4,Results!$G$2:$G$482,"&gt;0"),IF(COUNTIFS(Results!$F$2:$F$482,$A13,Results!$A$2:$A$482,AI$4,Results!$H$2:$H$482,"DNF")&gt;0,"DNF","•")))</f>
        <v>35</v>
      </c>
      <c r="AJ13" s="20" t="n">
        <f aca="false">IF(COUNTIFS(Results!$F$2:$F$482,$A13,Results!$A$2:$A$482,AJ$4)=0,"",IF(COUNTIFS(Results!$F$2:$F$482,$A13,Results!$A$2:$A$482,AJ$4,Results!$G$2:$G$482,"&gt;0")&gt;0,_xlfn.MINIFS(Results!$G$2:$G$482,Results!$F$2:$F$482,$A13,Results!$A$2:$A$482,AJ$4,Results!$G$2:$G$482,"&gt;0"),IF(COUNTIFS(Results!$F$2:$F$482,$A13,Results!$A$2:$A$482,AJ$4,Results!$H$2:$H$482,"DNF")&gt;0,"DNF","•")))</f>
        <v>9</v>
      </c>
      <c r="AK13" s="20" t="str">
        <f aca="false">IF(COUNTIFS(Results!$F$2:$F$482,$A13,Results!$A$2:$A$482,AK$4)=0,"",IF(COUNTIFS(Results!$F$2:$F$482,$A13,Results!$A$2:$A$482,AK$4,Results!$G$2:$G$482,"&gt;0")&gt;0,_xlfn.MINIFS(Results!$G$2:$G$482,Results!$F$2:$F$482,$A13,Results!$A$2:$A$482,AK$4,Results!$G$2:$G$482,"&gt;0"),IF(COUNTIFS(Results!$F$2:$F$482,$A13,Results!$A$2:$A$482,AK$4,Results!$H$2:$H$482,"DNF")&gt;0,"DNF","•")))</f>
        <v/>
      </c>
      <c r="AL13" s="20" t="str">
        <f aca="false">IF(COUNTIFS(Results!$F$2:$F$482,$A13,Results!$A$2:$A$482,AL$4)=0,"",IF(COUNTIFS(Results!$F$2:$F$482,$A13,Results!$A$2:$A$482,AL$4,Results!$G$2:$G$482,"&gt;0")&gt;0,_xlfn.MINIFS(Results!$G$2:$G$482,Results!$F$2:$F$482,$A13,Results!$A$2:$A$482,AL$4,Results!$G$2:$G$482,"&gt;0"),IF(COUNTIFS(Results!$F$2:$F$482,$A13,Results!$A$2:$A$482,AL$4,Results!$H$2:$H$482,"DNF")&gt;0,"DNF","•")))</f>
        <v/>
      </c>
      <c r="AM13" s="20" t="n">
        <f aca="false">IF(COUNTIFS(Results!$F$2:$F$482,$A13,Results!$A$2:$A$482,AM$4)=0,"",IF(COUNTIFS(Results!$F$2:$F$482,$A13,Results!$A$2:$A$482,AM$4,Results!$G$2:$G$482,"&gt;0")&gt;0,_xlfn.MINIFS(Results!$G$2:$G$482,Results!$F$2:$F$482,$A13,Results!$A$2:$A$482,AM$4,Results!$G$2:$G$482,"&gt;0"),IF(COUNTIFS(Results!$F$2:$F$482,$A13,Results!$A$2:$A$482,AM$4,Results!$H$2:$H$482,"DNF")&gt;0,"DNF","•")))</f>
        <v>3</v>
      </c>
      <c r="AN13" s="20" t="str">
        <f aca="false">IF(COUNTIFS(Results!$F$2:$F$482,$A13,Results!$A$2:$A$482,AN$4)=0,"",IF(COUNTIFS(Results!$F$2:$F$482,$A13,Results!$A$2:$A$482,AN$4,Results!$G$2:$G$482,"&gt;0")&gt;0,_xlfn.MINIFS(Results!$G$2:$G$482,Results!$F$2:$F$482,$A13,Results!$A$2:$A$482,AN$4,Results!$G$2:$G$482,"&gt;0"),IF(COUNTIFS(Results!$F$2:$F$482,$A13,Results!$A$2:$A$482,AN$4,Results!$H$2:$H$482,"DNF")&gt;0,"DNF","•")))</f>
        <v/>
      </c>
      <c r="AO13" s="20" t="str">
        <f aca="false">IF(COUNTIFS(Results!$F$2:$F$482,$A13,Results!$A$2:$A$482,AO$4)=0,"",IF(COUNTIFS(Results!$F$2:$F$482,$A13,Results!$A$2:$A$482,AO$4,Results!$G$2:$G$482,"&gt;0")&gt;0,_xlfn.MINIFS(Results!$G$2:$G$482,Results!$F$2:$F$482,$A13,Results!$A$2:$A$482,AO$4,Results!$G$2:$G$482,"&gt;0"),IF(COUNTIFS(Results!$F$2:$F$482,$A13,Results!$A$2:$A$482,AO$4,Results!$H$2:$H$482,"DNF")&gt;0,"DNF","•")))</f>
        <v/>
      </c>
      <c r="AP13" s="20" t="str">
        <f aca="false">IF(COUNTIFS(Results!$F$2:$F$482,$A13,Results!$A$2:$A$482,AP$4)=0,"",IF(COUNTIFS(Results!$F$2:$F$482,$A13,Results!$A$2:$A$482,AP$4,Results!$G$2:$G$482,"&gt;0")&gt;0,_xlfn.MINIFS(Results!$G$2:$G$482,Results!$F$2:$F$482,$A13,Results!$A$2:$A$482,AP$4,Results!$G$2:$G$482,"&gt;0"),IF(COUNTIFS(Results!$F$2:$F$482,$A13,Results!$A$2:$A$482,AP$4,Results!$H$2:$H$482,"DNF")&gt;0,"DNF","•")))</f>
        <v/>
      </c>
      <c r="AQ13" s="20" t="n">
        <f aca="false">IF(COUNTIFS(Results!$F$2:$F$482,$A13,Results!$A$2:$A$482,AQ$4)=0,"",IF(COUNTIFS(Results!$F$2:$F$482,$A13,Results!$A$2:$A$482,AQ$4,Results!$G$2:$G$482,"&gt;0")&gt;0,_xlfn.MINIFS(Results!$G$2:$G$482,Results!$F$2:$F$482,$A13,Results!$A$2:$A$482,AQ$4,Results!$G$2:$G$482,"&gt;0"),IF(COUNTIFS(Results!$F$2:$F$482,$A13,Results!$A$2:$A$482,AQ$4,Results!$H$2:$H$482,"DNF")&gt;0,"DNF","•")))</f>
        <v>29</v>
      </c>
      <c r="AR13" s="20" t="str">
        <f aca="false">IF(COUNTIFS(Results!$F$2:$F$482,$A13,Results!$A$2:$A$482,AR$4)=0,"",IF(COUNTIFS(Results!$F$2:$F$482,$A13,Results!$A$2:$A$482,AR$4,Results!$G$2:$G$482,"&gt;0")&gt;0,_xlfn.MINIFS(Results!$G$2:$G$482,Results!$F$2:$F$482,$A13,Results!$A$2:$A$482,AR$4,Results!$G$2:$G$482,"&gt;0"),IF(COUNTIFS(Results!$F$2:$F$482,$A13,Results!$A$2:$A$482,AR$4,Results!$H$2:$H$482,"DNF")&gt;0,"DNF","•")))</f>
        <v/>
      </c>
      <c r="AS13" s="20" t="str">
        <f aca="false">IF(COUNTIFS(Results!$F$2:$F$482,$A13,Results!$A$2:$A$482,AS$4)=0,"",IF(COUNTIFS(Results!$F$2:$F$482,$A13,Results!$A$2:$A$482,AS$4,Results!$G$2:$G$482,"&gt;0")&gt;0,_xlfn.MINIFS(Results!$G$2:$G$482,Results!$F$2:$F$482,$A13,Results!$A$2:$A$482,AS$4,Results!$G$2:$G$482,"&gt;0"),IF(COUNTIFS(Results!$F$2:$F$482,$A13,Results!$A$2:$A$482,AS$4,Results!$H$2:$H$482,"DNF")&gt;0,"DNF","•")))</f>
        <v/>
      </c>
      <c r="AT13" s="20" t="str">
        <f aca="false">IF(COUNTIFS(Results!$F$2:$F$482,$A13,Results!$A$2:$A$482,AT$4)=0,"",IF(COUNTIFS(Results!$F$2:$F$482,$A13,Results!$A$2:$A$482,AT$4,Results!$G$2:$G$482,"&gt;0")&gt;0,_xlfn.MINIFS(Results!$G$2:$G$482,Results!$F$2:$F$482,$A13,Results!$A$2:$A$482,AT$4,Results!$G$2:$G$482,"&gt;0"),IF(COUNTIFS(Results!$F$2:$F$482,$A13,Results!$A$2:$A$482,AT$4,Results!$H$2:$H$482,"DNF")&gt;0,"DNF","•")))</f>
        <v/>
      </c>
      <c r="AU13" s="20" t="n">
        <f aca="false">IF(COUNTIFS(Results!$F$2:$F$482,$A13,Results!$A$2:$A$482,AU$4)=0,"",IF(COUNTIFS(Results!$F$2:$F$482,$A13,Results!$A$2:$A$482,AU$4,Results!$G$2:$G$482,"&gt;0")&gt;0,_xlfn.MINIFS(Results!$G$2:$G$482,Results!$F$2:$F$482,$A13,Results!$A$2:$A$482,AU$4,Results!$G$2:$G$482,"&gt;0"),IF(COUNTIFS(Results!$F$2:$F$482,$A13,Results!$A$2:$A$482,AU$4,Results!$H$2:$H$482,"DNF")&gt;0,"DNF","•")))</f>
        <v>1</v>
      </c>
      <c r="AV13" s="20" t="str">
        <f aca="false">IF(COUNTIFS(Results!$F$2:$F$482,$A13,Results!$A$2:$A$482,AV$4)=0,"",IF(COUNTIFS(Results!$F$2:$F$482,$A13,Results!$A$2:$A$482,AV$4,Results!$G$2:$G$482,"&gt;0")&gt;0,_xlfn.MINIFS(Results!$G$2:$G$482,Results!$F$2:$F$482,$A13,Results!$A$2:$A$482,AV$4,Results!$G$2:$G$482,"&gt;0"),IF(COUNTIFS(Results!$F$2:$F$482,$A13,Results!$A$2:$A$482,AV$4,Results!$H$2:$H$482,"DNF")&gt;0,"DNF","•")))</f>
        <v/>
      </c>
      <c r="AW13" s="20" t="str">
        <f aca="false">IF(COUNTIFS(Results!$F$2:$F$482,$A13,Results!$A$2:$A$482,AW$4)=0,"",IF(COUNTIFS(Results!$F$2:$F$482,$A13,Results!$A$2:$A$482,AW$4,Results!$G$2:$G$482,"&gt;0")&gt;0,_xlfn.MINIFS(Results!$G$2:$G$482,Results!$F$2:$F$482,$A13,Results!$A$2:$A$482,AW$4,Results!$G$2:$G$482,"&gt;0"),IF(COUNTIFS(Results!$F$2:$F$482,$A13,Results!$A$2:$A$482,AW$4,Results!$H$2:$H$482,"DNF")&gt;0,"DNF","•")))</f>
        <v/>
      </c>
      <c r="AX13" s="20" t="str">
        <f aca="false">IF(COUNTIFS(Results!$F$2:$F$482,$A13,Results!$A$2:$A$482,AX$4)=0,"",IF(COUNTIFS(Results!$F$2:$F$482,$A13,Results!$A$2:$A$482,AX$4,Results!$G$2:$G$482,"&gt;0")&gt;0,_xlfn.MINIFS(Results!$G$2:$G$482,Results!$F$2:$F$482,$A13,Results!$A$2:$A$482,AX$4,Results!$G$2:$G$482,"&gt;0"),IF(COUNTIFS(Results!$F$2:$F$482,$A13,Results!$A$2:$A$482,AX$4,Results!$H$2:$H$482,"DNF")&gt;0,"DNF","•")))</f>
        <v/>
      </c>
      <c r="AY13" s="20" t="n">
        <f aca="false">IF(COUNTIFS(Results!$F$2:$F$482,$A13,Results!$A$2:$A$482,AY$4)=0,"",IF(COUNTIFS(Results!$F$2:$F$482,$A13,Results!$A$2:$A$482,AY$4,Results!$G$2:$G$482,"&gt;0")&gt;0,_xlfn.MINIFS(Results!$G$2:$G$482,Results!$F$2:$F$482,$A13,Results!$A$2:$A$482,AY$4,Results!$G$2:$G$482,"&gt;0"),IF(COUNTIFS(Results!$F$2:$F$482,$A13,Results!$A$2:$A$482,AY$4,Results!$H$2:$H$482,"DNF")&gt;0,"DNF","•")))</f>
        <v>44</v>
      </c>
      <c r="AZ13" s="20" t="n">
        <f aca="false">IF(COUNTIFS(Results!$F$2:$F$482,$A13,Results!$A$2:$A$482,AZ$4)=0,"",IF(COUNTIFS(Results!$F$2:$F$482,$A13,Results!$A$2:$A$482,AZ$4,Results!$G$2:$G$482,"&gt;0")&gt;0,_xlfn.MINIFS(Results!$G$2:$G$482,Results!$F$2:$F$482,$A13,Results!$A$2:$A$482,AZ$4,Results!$G$2:$G$482,"&gt;0"),IF(COUNTIFS(Results!$F$2:$F$482,$A13,Results!$A$2:$A$482,AZ$4,Results!$H$2:$H$482,"DNF")&gt;0,"DNF","•")))</f>
        <v>58</v>
      </c>
      <c r="BA13" s="20" t="str">
        <f aca="false">IF(COUNTIFS(Results!$F$2:$F$482,$A13,Results!$A$2:$A$482,BA$4)=0,"",IF(COUNTIFS(Results!$F$2:$F$482,$A13,Results!$A$2:$A$482,BA$4,Results!$G$2:$G$482,"&gt;0")&gt;0,_xlfn.MINIFS(Results!$G$2:$G$482,Results!$F$2:$F$482,$A13,Results!$A$2:$A$482,BA$4,Results!$G$2:$G$482,"&gt;0"),IF(COUNTIFS(Results!$F$2:$F$482,$A13,Results!$A$2:$A$482,BA$4,Results!$H$2:$H$482,"DNF")&gt;0,"DNF","•")))</f>
        <v/>
      </c>
      <c r="BB13" s="20" t="str">
        <f aca="false">IF(COUNTIFS(Results!$F$2:$F$482,$A13,Results!$A$2:$A$482,BB$4)=0,"",IF(COUNTIFS(Results!$F$2:$F$482,$A13,Results!$A$2:$A$482,BB$4,Results!$G$2:$G$482,"&gt;0")&gt;0,_xlfn.MINIFS(Results!$G$2:$G$482,Results!$F$2:$F$482,$A13,Results!$A$2:$A$482,BB$4,Results!$G$2:$G$482,"&gt;0"),IF(COUNTIFS(Results!$F$2:$F$482,$A13,Results!$A$2:$A$482,BB$4,Results!$H$2:$H$482,"DNF")&gt;0,"DNF","•")))</f>
        <v/>
      </c>
      <c r="BC13" s="20" t="str">
        <f aca="false">IF(COUNTIFS(Results!$F$2:$F$482,$A13,Results!$A$2:$A$482,BC$4)=0,"",IF(COUNTIFS(Results!$F$2:$F$482,$A13,Results!$A$2:$A$482,BC$4,Results!$G$2:$G$482,"&gt;0")&gt;0,_xlfn.MINIFS(Results!$G$2:$G$482,Results!$F$2:$F$482,$A13,Results!$A$2:$A$482,BC$4,Results!$G$2:$G$482,"&gt;0"),IF(COUNTIFS(Results!$F$2:$F$482,$A13,Results!$A$2:$A$482,BC$4,Results!$H$2:$H$482,"DNF")&gt;0,"DNF","•")))</f>
        <v/>
      </c>
      <c r="BD13" s="20" t="str">
        <f aca="false">IF(COUNTIFS(Results!$F$2:$F$482,$A13,Results!$A$2:$A$482,BD$4)=0,"",IF(COUNTIFS(Results!$F$2:$F$482,$A13,Results!$A$2:$A$482,BD$4,Results!$G$2:$G$482,"&gt;0")&gt;0,_xlfn.MINIFS(Results!$G$2:$G$482,Results!$F$2:$F$482,$A13,Results!$A$2:$A$482,BD$4,Results!$G$2:$G$482,"&gt;0"),IF(COUNTIFS(Results!$F$2:$F$482,$A13,Results!$A$2:$A$482,BD$4,Results!$H$2:$H$482,"DNF")&gt;0,"DNF","•")))</f>
        <v/>
      </c>
      <c r="BE13" s="20" t="n">
        <f aca="false">IF(COUNTIFS(Results!$F$2:$F$482,$A13,Results!$A$2:$A$482,BE$4)=0,"",IF(COUNTIFS(Results!$F$2:$F$482,$A13,Results!$A$2:$A$482,BE$4,Results!$G$2:$G$482,"&gt;0")&gt;0,_xlfn.MINIFS(Results!$G$2:$G$482,Results!$F$2:$F$482,$A13,Results!$A$2:$A$482,BE$4,Results!$G$2:$G$482,"&gt;0"),IF(COUNTIFS(Results!$F$2:$F$482,$A13,Results!$A$2:$A$482,BE$4,Results!$H$2:$H$482,"DNF")&gt;0,"DNF","•")))</f>
        <v>2</v>
      </c>
      <c r="BF13" s="20" t="str">
        <f aca="false">IF(COUNTIFS(Results!$F$2:$F$482,$A13,Results!$A$2:$A$482,BF$4)=0,"",IF(COUNTIFS(Results!$F$2:$F$482,$A13,Results!$A$2:$A$482,BF$4,Results!$G$2:$G$482,"&gt;0")&gt;0,_xlfn.MINIFS(Results!$G$2:$G$482,Results!$F$2:$F$482,$A13,Results!$A$2:$A$482,BF$4,Results!$G$2:$G$482,"&gt;0"),IF(COUNTIFS(Results!$F$2:$F$482,$A13,Results!$A$2:$A$482,BF$4,Results!$H$2:$H$482,"DNF")&gt;0,"DNF","•")))</f>
        <v/>
      </c>
      <c r="BG13" s="20" t="str">
        <f aca="false">IF(COUNTIFS(Results!$F$2:$F$482,$A13,Results!$A$2:$A$482,BG$4)=0,"",IF(COUNTIFS(Results!$F$2:$F$482,$A13,Results!$A$2:$A$482,BG$4,Results!$G$2:$G$482,"&gt;0")&gt;0,_xlfn.MINIFS(Results!$G$2:$G$482,Results!$F$2:$F$482,$A13,Results!$A$2:$A$482,BG$4,Results!$G$2:$G$482,"&gt;0"),IF(COUNTIFS(Results!$F$2:$F$482,$A13,Results!$A$2:$A$482,BG$4,Results!$H$2:$H$482,"DNF")&gt;0,"DNF","•")))</f>
        <v/>
      </c>
      <c r="BH13" s="20" t="str">
        <f aca="false">IF(COUNTIFS(Results!$F$2:$F$482,$A13,Results!$A$2:$A$482,BH$4)=0,"",IF(COUNTIFS(Results!$F$2:$F$482,$A13,Results!$A$2:$A$482,BH$4,Results!$G$2:$G$482,"&gt;0")&gt;0,_xlfn.MINIFS(Results!$G$2:$G$482,Results!$F$2:$F$482,$A13,Results!$A$2:$A$482,BH$4,Results!$G$2:$G$482,"&gt;0"),IF(COUNTIFS(Results!$F$2:$F$482,$A13,Results!$A$2:$A$482,BH$4,Results!$H$2:$H$482,"DNF")&gt;0,"DNF","•")))</f>
        <v>DNF</v>
      </c>
      <c r="BI13" s="20" t="str">
        <f aca="false">IF(COUNTIFS(Results!$F$2:$F$482,$A13,Results!$A$2:$A$482,BI$4)=0,"",IF(COUNTIFS(Results!$F$2:$F$482,$A13,Results!$A$2:$A$482,BI$4,Results!$G$2:$G$482,"&gt;0")&gt;0,_xlfn.MINIFS(Results!$G$2:$G$482,Results!$F$2:$F$482,$A13,Results!$A$2:$A$482,BI$4,Results!$G$2:$G$482,"&gt;0"),IF(COUNTIFS(Results!$F$2:$F$482,$A13,Results!$A$2:$A$482,BI$4,Results!$H$2:$H$482,"DNF")&gt;0,"DNF","•")))</f>
        <v/>
      </c>
      <c r="BJ13" s="20" t="str">
        <f aca="false">IF(COUNTIFS(Results!$F$2:$F$482,$A13,Results!$A$2:$A$482,BJ$4)=0,"",IF(COUNTIFS(Results!$F$2:$F$482,$A13,Results!$A$2:$A$482,BJ$4,Results!$G$2:$G$482,"&gt;0")&gt;0,_xlfn.MINIFS(Results!$G$2:$G$482,Results!$F$2:$F$482,$A13,Results!$A$2:$A$482,BJ$4,Results!$G$2:$G$482,"&gt;0"),IF(COUNTIFS(Results!$F$2:$F$482,$A13,Results!$A$2:$A$482,BJ$4,Results!$H$2:$H$482,"DNF")&gt;0,"DNF","•")))</f>
        <v/>
      </c>
      <c r="BK13" s="20" t="str">
        <f aca="false">IF(COUNTIFS(Results!$F$2:$F$482,$A13,Results!$A$2:$A$482,BK$4)=0,"",IF(COUNTIFS(Results!$F$2:$F$482,$A13,Results!$A$2:$A$482,BK$4,Results!$G$2:$G$482,"&gt;0")&gt;0,_xlfn.MINIFS(Results!$G$2:$G$482,Results!$F$2:$F$482,$A13,Results!$A$2:$A$482,BK$4,Results!$G$2:$G$482,"&gt;0"),IF(COUNTIFS(Results!$F$2:$F$482,$A13,Results!$A$2:$A$482,BK$4,Results!$H$2:$H$482,"DNF")&gt;0,"DNF","•")))</f>
        <v/>
      </c>
      <c r="BL13" s="20" t="str">
        <f aca="false">IF(COUNTIFS(Results!$F$2:$F$482,$A13,Results!$A$2:$A$482,BL$4)=0,"",IF(COUNTIFS(Results!$F$2:$F$482,$A13,Results!$A$2:$A$482,BL$4,Results!$G$2:$G$482,"&gt;0")&gt;0,_xlfn.MINIFS(Results!$G$2:$G$482,Results!$F$2:$F$482,$A13,Results!$A$2:$A$482,BL$4,Results!$G$2:$G$482,"&gt;0"),IF(COUNTIFS(Results!$F$2:$F$482,$A13,Results!$A$2:$A$482,BL$4,Results!$H$2:$H$482,"DNF")&gt;0,"DNF","•")))</f>
        <v/>
      </c>
    </row>
    <row r="14" customFormat="false" ht="15" hidden="false" customHeight="false" outlineLevel="0" collapsed="false">
      <c r="A14" s="7" t="str">
        <f aca="false">Riders!A12</f>
        <v>Sofia Ungerová</v>
      </c>
      <c r="B14" s="20" t="str">
        <f aca="false">IF(COUNTIFS(Results!$F$2:$F$482,$A14,Results!$A$2:$A$482,B$4)=0,"",IF(COUNTIFS(Results!$F$2:$F$482,$A14,Results!$A$2:$A$482,B$4,Results!$G$2:$G$482,"&gt;0")&gt;0,_xlfn.MINIFS(Results!$G$2:$G$482,Results!$F$2:$F$482,$A14,Results!$A$2:$A$482,B$4,Results!$G$2:$G$482,"&gt;0"),IF(COUNTIFS(Results!$F$2:$F$482,$A14,Results!$A$2:$A$482,B$4,Results!$H$2:$H$482,"DNF")&gt;0,"DNF","•")))</f>
        <v/>
      </c>
      <c r="C14" s="20" t="str">
        <f aca="false">IF(COUNTIFS(Results!$F$2:$F$482,$A14,Results!$A$2:$A$482,C$4)=0,"",IF(COUNTIFS(Results!$F$2:$F$482,$A14,Results!$A$2:$A$482,C$4,Results!$G$2:$G$482,"&gt;0")&gt;0,_xlfn.MINIFS(Results!$G$2:$G$482,Results!$F$2:$F$482,$A14,Results!$A$2:$A$482,C$4,Results!$G$2:$G$482,"&gt;0"),IF(COUNTIFS(Results!$F$2:$F$482,$A14,Results!$A$2:$A$482,C$4,Results!$H$2:$H$482,"DNF")&gt;0,"DNF","•")))</f>
        <v/>
      </c>
      <c r="D14" s="20" t="str">
        <f aca="false">IF(COUNTIFS(Results!$F$2:$F$482,$A14,Results!$A$2:$A$482,D$4)=0,"",IF(COUNTIFS(Results!$F$2:$F$482,$A14,Results!$A$2:$A$482,D$4,Results!$G$2:$G$482,"&gt;0")&gt;0,_xlfn.MINIFS(Results!$G$2:$G$482,Results!$F$2:$F$482,$A14,Results!$A$2:$A$482,D$4,Results!$G$2:$G$482,"&gt;0"),IF(COUNTIFS(Results!$F$2:$F$482,$A14,Results!$A$2:$A$482,D$4,Results!$H$2:$H$482,"DNF")&gt;0,"DNF","•")))</f>
        <v/>
      </c>
      <c r="E14" s="20" t="str">
        <f aca="false">IF(COUNTIFS(Results!$F$2:$F$482,$A14,Results!$A$2:$A$482,E$4)=0,"",IF(COUNTIFS(Results!$F$2:$F$482,$A14,Results!$A$2:$A$482,E$4,Results!$G$2:$G$482,"&gt;0")&gt;0,_xlfn.MINIFS(Results!$G$2:$G$482,Results!$F$2:$F$482,$A14,Results!$A$2:$A$482,E$4,Results!$G$2:$G$482,"&gt;0"),IF(COUNTIFS(Results!$F$2:$F$482,$A14,Results!$A$2:$A$482,E$4,Results!$H$2:$H$482,"DNF")&gt;0,"DNF","•")))</f>
        <v/>
      </c>
      <c r="F14" s="20" t="n">
        <f aca="false">IF(COUNTIFS(Results!$F$2:$F$482,$A14,Results!$A$2:$A$482,F$4)=0,"",IF(COUNTIFS(Results!$F$2:$F$482,$A14,Results!$A$2:$A$482,F$4,Results!$G$2:$G$482,"&gt;0")&gt;0,_xlfn.MINIFS(Results!$G$2:$G$482,Results!$F$2:$F$482,$A14,Results!$A$2:$A$482,F$4,Results!$G$2:$G$482,"&gt;0"),IF(COUNTIFS(Results!$F$2:$F$482,$A14,Results!$A$2:$A$482,F$4,Results!$H$2:$H$482,"DNF")&gt;0,"DNF","•")))</f>
        <v>48</v>
      </c>
      <c r="G14" s="20" t="n">
        <f aca="false">IF(COUNTIFS(Results!$F$2:$F$482,$A14,Results!$A$2:$A$482,G$4)=0,"",IF(COUNTIFS(Results!$F$2:$F$482,$A14,Results!$A$2:$A$482,G$4,Results!$G$2:$G$482,"&gt;0")&gt;0,_xlfn.MINIFS(Results!$G$2:$G$482,Results!$F$2:$F$482,$A14,Results!$A$2:$A$482,G$4,Results!$G$2:$G$482,"&gt;0"),IF(COUNTIFS(Results!$F$2:$F$482,$A14,Results!$A$2:$A$482,G$4,Results!$H$2:$H$482,"DNF")&gt;0,"DNF","•")))</f>
        <v>10</v>
      </c>
      <c r="H14" s="20" t="str">
        <f aca="false">IF(COUNTIFS(Results!$F$2:$F$482,$A14,Results!$A$2:$A$482,H$4)=0,"",IF(COUNTIFS(Results!$F$2:$F$482,$A14,Results!$A$2:$A$482,H$4,Results!$G$2:$G$482,"&gt;0")&gt;0,_xlfn.MINIFS(Results!$G$2:$G$482,Results!$F$2:$F$482,$A14,Results!$A$2:$A$482,H$4,Results!$G$2:$G$482,"&gt;0"),IF(COUNTIFS(Results!$F$2:$F$482,$A14,Results!$A$2:$A$482,H$4,Results!$H$2:$H$482,"DNF")&gt;0,"DNF","•")))</f>
        <v/>
      </c>
      <c r="I14" s="20" t="str">
        <f aca="false">IF(COUNTIFS(Results!$F$2:$F$482,$A14,Results!$A$2:$A$482,I$4)=0,"",IF(COUNTIFS(Results!$F$2:$F$482,$A14,Results!$A$2:$A$482,I$4,Results!$G$2:$G$482,"&gt;0")&gt;0,_xlfn.MINIFS(Results!$G$2:$G$482,Results!$F$2:$F$482,$A14,Results!$A$2:$A$482,I$4,Results!$G$2:$G$482,"&gt;0"),IF(COUNTIFS(Results!$F$2:$F$482,$A14,Results!$A$2:$A$482,I$4,Results!$H$2:$H$482,"DNF")&gt;0,"DNF","•")))</f>
        <v/>
      </c>
      <c r="J14" s="20" t="str">
        <f aca="false">IF(COUNTIFS(Results!$F$2:$F$482,$A14,Results!$A$2:$A$482,J$4)=0,"",IF(COUNTIFS(Results!$F$2:$F$482,$A14,Results!$A$2:$A$482,J$4,Results!$G$2:$G$482,"&gt;0")&gt;0,_xlfn.MINIFS(Results!$G$2:$G$482,Results!$F$2:$F$482,$A14,Results!$A$2:$A$482,J$4,Results!$G$2:$G$482,"&gt;0"),IF(COUNTIFS(Results!$F$2:$F$482,$A14,Results!$A$2:$A$482,J$4,Results!$H$2:$H$482,"DNF")&gt;0,"DNF","•")))</f>
        <v/>
      </c>
      <c r="K14" s="20" t="n">
        <f aca="false">IF(COUNTIFS(Results!$F$2:$F$482,$A14,Results!$A$2:$A$482,K$4)=0,"",IF(COUNTIFS(Results!$F$2:$F$482,$A14,Results!$A$2:$A$482,K$4,Results!$G$2:$G$482,"&gt;0")&gt;0,_xlfn.MINIFS(Results!$G$2:$G$482,Results!$F$2:$F$482,$A14,Results!$A$2:$A$482,K$4,Results!$G$2:$G$482,"&gt;0"),IF(COUNTIFS(Results!$F$2:$F$482,$A14,Results!$A$2:$A$482,K$4,Results!$H$2:$H$482,"DNF")&gt;0,"DNF","•")))</f>
        <v>24</v>
      </c>
      <c r="L14" s="20" t="str">
        <f aca="false">IF(COUNTIFS(Results!$F$2:$F$482,$A14,Results!$A$2:$A$482,L$4)=0,"",IF(COUNTIFS(Results!$F$2:$F$482,$A14,Results!$A$2:$A$482,L$4,Results!$G$2:$G$482,"&gt;0")&gt;0,_xlfn.MINIFS(Results!$G$2:$G$482,Results!$F$2:$F$482,$A14,Results!$A$2:$A$482,L$4,Results!$G$2:$G$482,"&gt;0"),IF(COUNTIFS(Results!$F$2:$F$482,$A14,Results!$A$2:$A$482,L$4,Results!$H$2:$H$482,"DNF")&gt;0,"DNF","•")))</f>
        <v/>
      </c>
      <c r="M14" s="20" t="str">
        <f aca="false">IF(COUNTIFS(Results!$F$2:$F$482,$A14,Results!$A$2:$A$482,M$4)=0,"",IF(COUNTIFS(Results!$F$2:$F$482,$A14,Results!$A$2:$A$482,M$4,Results!$G$2:$G$482,"&gt;0")&gt;0,_xlfn.MINIFS(Results!$G$2:$G$482,Results!$F$2:$F$482,$A14,Results!$A$2:$A$482,M$4,Results!$G$2:$G$482,"&gt;0"),IF(COUNTIFS(Results!$F$2:$F$482,$A14,Results!$A$2:$A$482,M$4,Results!$H$2:$H$482,"DNF")&gt;0,"DNF","•")))</f>
        <v/>
      </c>
      <c r="N14" s="20" t="n">
        <f aca="false">IF(COUNTIFS(Results!$F$2:$F$482,$A14,Results!$A$2:$A$482,N$4)=0,"",IF(COUNTIFS(Results!$F$2:$F$482,$A14,Results!$A$2:$A$482,N$4,Results!$G$2:$G$482,"&gt;0")&gt;0,_xlfn.MINIFS(Results!$G$2:$G$482,Results!$F$2:$F$482,$A14,Results!$A$2:$A$482,N$4,Results!$G$2:$G$482,"&gt;0"),IF(COUNTIFS(Results!$F$2:$F$482,$A14,Results!$A$2:$A$482,N$4,Results!$H$2:$H$482,"DNF")&gt;0,"DNF","•")))</f>
        <v>1</v>
      </c>
      <c r="O14" s="20" t="n">
        <f aca="false">IF(COUNTIFS(Results!$F$2:$F$482,$A14,Results!$A$2:$A$482,O$4)=0,"",IF(COUNTIFS(Results!$F$2:$F$482,$A14,Results!$A$2:$A$482,O$4,Results!$G$2:$G$482,"&gt;0")&gt;0,_xlfn.MINIFS(Results!$G$2:$G$482,Results!$F$2:$F$482,$A14,Results!$A$2:$A$482,O$4,Results!$G$2:$G$482,"&gt;0"),IF(COUNTIFS(Results!$F$2:$F$482,$A14,Results!$A$2:$A$482,O$4,Results!$H$2:$H$482,"DNF")&gt;0,"DNF","•")))</f>
        <v>15</v>
      </c>
      <c r="P14" s="20" t="str">
        <f aca="false">IF(COUNTIFS(Results!$F$2:$F$482,$A14,Results!$A$2:$A$482,P$4)=0,"",IF(COUNTIFS(Results!$F$2:$F$482,$A14,Results!$A$2:$A$482,P$4,Results!$G$2:$G$482,"&gt;0")&gt;0,_xlfn.MINIFS(Results!$G$2:$G$482,Results!$F$2:$F$482,$A14,Results!$A$2:$A$482,P$4,Results!$G$2:$G$482,"&gt;0"),IF(COUNTIFS(Results!$F$2:$F$482,$A14,Results!$A$2:$A$482,P$4,Results!$H$2:$H$482,"DNF")&gt;0,"DNF","•")))</f>
        <v/>
      </c>
      <c r="Q14" s="20" t="str">
        <f aca="false">IF(COUNTIFS(Results!$F$2:$F$482,$A14,Results!$A$2:$A$482,Q$4)=0,"",IF(COUNTIFS(Results!$F$2:$F$482,$A14,Results!$A$2:$A$482,Q$4,Results!$G$2:$G$482,"&gt;0")&gt;0,_xlfn.MINIFS(Results!$G$2:$G$482,Results!$F$2:$F$482,$A14,Results!$A$2:$A$482,Q$4,Results!$G$2:$G$482,"&gt;0"),IF(COUNTIFS(Results!$F$2:$F$482,$A14,Results!$A$2:$A$482,Q$4,Results!$H$2:$H$482,"DNF")&gt;0,"DNF","•")))</f>
        <v/>
      </c>
      <c r="R14" s="20" t="str">
        <f aca="false">IF(COUNTIFS(Results!$F$2:$F$482,$A14,Results!$A$2:$A$482,R$4)=0,"",IF(COUNTIFS(Results!$F$2:$F$482,$A14,Results!$A$2:$A$482,R$4,Results!$G$2:$G$482,"&gt;0")&gt;0,_xlfn.MINIFS(Results!$G$2:$G$482,Results!$F$2:$F$482,$A14,Results!$A$2:$A$482,R$4,Results!$G$2:$G$482,"&gt;0"),IF(COUNTIFS(Results!$F$2:$F$482,$A14,Results!$A$2:$A$482,R$4,Results!$H$2:$H$482,"DNF")&gt;0,"DNF","•")))</f>
        <v/>
      </c>
      <c r="S14" s="20" t="str">
        <f aca="false">IF(COUNTIFS(Results!$F$2:$F$482,$A14,Results!$A$2:$A$482,S$4)=0,"",IF(COUNTIFS(Results!$F$2:$F$482,$A14,Results!$A$2:$A$482,S$4,Results!$G$2:$G$482,"&gt;0")&gt;0,_xlfn.MINIFS(Results!$G$2:$G$482,Results!$F$2:$F$482,$A14,Results!$A$2:$A$482,S$4,Results!$G$2:$G$482,"&gt;0"),IF(COUNTIFS(Results!$F$2:$F$482,$A14,Results!$A$2:$A$482,S$4,Results!$H$2:$H$482,"DNF")&gt;0,"DNF","•")))</f>
        <v/>
      </c>
      <c r="T14" s="20" t="str">
        <f aca="false">IF(COUNTIFS(Results!$F$2:$F$482,$A14,Results!$A$2:$A$482,T$4)=0,"",IF(COUNTIFS(Results!$F$2:$F$482,$A14,Results!$A$2:$A$482,T$4,Results!$G$2:$G$482,"&gt;0")&gt;0,_xlfn.MINIFS(Results!$G$2:$G$482,Results!$F$2:$F$482,$A14,Results!$A$2:$A$482,T$4,Results!$G$2:$G$482,"&gt;0"),IF(COUNTIFS(Results!$F$2:$F$482,$A14,Results!$A$2:$A$482,T$4,Results!$H$2:$H$482,"DNF")&gt;0,"DNF","•")))</f>
        <v/>
      </c>
      <c r="U14" s="20" t="n">
        <f aca="false">IF(COUNTIFS(Results!$F$2:$F$482,$A14,Results!$A$2:$A$482,U$4)=0,"",IF(COUNTIFS(Results!$F$2:$F$482,$A14,Results!$A$2:$A$482,U$4,Results!$G$2:$G$482,"&gt;0")&gt;0,_xlfn.MINIFS(Results!$G$2:$G$482,Results!$F$2:$F$482,$A14,Results!$A$2:$A$482,U$4,Results!$G$2:$G$482,"&gt;0"),IF(COUNTIFS(Results!$F$2:$F$482,$A14,Results!$A$2:$A$482,U$4,Results!$H$2:$H$482,"DNF")&gt;0,"DNF","•")))</f>
        <v>1</v>
      </c>
      <c r="V14" s="20" t="str">
        <f aca="false">IF(COUNTIFS(Results!$F$2:$F$482,$A14,Results!$A$2:$A$482,V$4)=0,"",IF(COUNTIFS(Results!$F$2:$F$482,$A14,Results!$A$2:$A$482,V$4,Results!$G$2:$G$482,"&gt;0")&gt;0,_xlfn.MINIFS(Results!$G$2:$G$482,Results!$F$2:$F$482,$A14,Results!$A$2:$A$482,V$4,Results!$G$2:$G$482,"&gt;0"),IF(COUNTIFS(Results!$F$2:$F$482,$A14,Results!$A$2:$A$482,V$4,Results!$H$2:$H$482,"DNF")&gt;0,"DNF","•")))</f>
        <v/>
      </c>
      <c r="W14" s="20" t="str">
        <f aca="false">IF(COUNTIFS(Results!$F$2:$F$482,$A14,Results!$A$2:$A$482,W$4)=0,"",IF(COUNTIFS(Results!$F$2:$F$482,$A14,Results!$A$2:$A$482,W$4,Results!$G$2:$G$482,"&gt;0")&gt;0,_xlfn.MINIFS(Results!$G$2:$G$482,Results!$F$2:$F$482,$A14,Results!$A$2:$A$482,W$4,Results!$G$2:$G$482,"&gt;0"),IF(COUNTIFS(Results!$F$2:$F$482,$A14,Results!$A$2:$A$482,W$4,Results!$H$2:$H$482,"DNF")&gt;0,"DNF","•")))</f>
        <v/>
      </c>
      <c r="X14" s="20" t="str">
        <f aca="false">IF(COUNTIFS(Results!$F$2:$F$482,$A14,Results!$A$2:$A$482,X$4)=0,"",IF(COUNTIFS(Results!$F$2:$F$482,$A14,Results!$A$2:$A$482,X$4,Results!$G$2:$G$482,"&gt;0")&gt;0,_xlfn.MINIFS(Results!$G$2:$G$482,Results!$F$2:$F$482,$A14,Results!$A$2:$A$482,X$4,Results!$G$2:$G$482,"&gt;0"),IF(COUNTIFS(Results!$F$2:$F$482,$A14,Results!$A$2:$A$482,X$4,Results!$H$2:$H$482,"DNF")&gt;0,"DNF","•")))</f>
        <v/>
      </c>
      <c r="Y14" s="20" t="str">
        <f aca="false">IF(COUNTIFS(Results!$F$2:$F$482,$A14,Results!$A$2:$A$482,Y$4)=0,"",IF(COUNTIFS(Results!$F$2:$F$482,$A14,Results!$A$2:$A$482,Y$4,Results!$G$2:$G$482,"&gt;0")&gt;0,_xlfn.MINIFS(Results!$G$2:$G$482,Results!$F$2:$F$482,$A14,Results!$A$2:$A$482,Y$4,Results!$G$2:$G$482,"&gt;0"),IF(COUNTIFS(Results!$F$2:$F$482,$A14,Results!$A$2:$A$482,Y$4,Results!$H$2:$H$482,"DNF")&gt;0,"DNF","•")))</f>
        <v/>
      </c>
      <c r="Z14" s="20" t="n">
        <f aca="false">IF(COUNTIFS(Results!$F$2:$F$482,$A14,Results!$A$2:$A$482,Z$4)=0,"",IF(COUNTIFS(Results!$F$2:$F$482,$A14,Results!$A$2:$A$482,Z$4,Results!$G$2:$G$482,"&gt;0")&gt;0,_xlfn.MINIFS(Results!$G$2:$G$482,Results!$F$2:$F$482,$A14,Results!$A$2:$A$482,Z$4,Results!$G$2:$G$482,"&gt;0"),IF(COUNTIFS(Results!$F$2:$F$482,$A14,Results!$A$2:$A$482,Z$4,Results!$H$2:$H$482,"DNF")&gt;0,"DNF","•")))</f>
        <v>3</v>
      </c>
      <c r="AA14" s="20" t="str">
        <f aca="false">IF(COUNTIFS(Results!$F$2:$F$482,$A14,Results!$A$2:$A$482,AA$4)=0,"",IF(COUNTIFS(Results!$F$2:$F$482,$A14,Results!$A$2:$A$482,AA$4,Results!$G$2:$G$482,"&gt;0")&gt;0,_xlfn.MINIFS(Results!$G$2:$G$482,Results!$F$2:$F$482,$A14,Results!$A$2:$A$482,AA$4,Results!$G$2:$G$482,"&gt;0"),IF(COUNTIFS(Results!$F$2:$F$482,$A14,Results!$A$2:$A$482,AA$4,Results!$H$2:$H$482,"DNF")&gt;0,"DNF","•")))</f>
        <v/>
      </c>
      <c r="AB14" s="20" t="str">
        <f aca="false">IF(COUNTIFS(Results!$F$2:$F$482,$A14,Results!$A$2:$A$482,AB$4)=0,"",IF(COUNTIFS(Results!$F$2:$F$482,$A14,Results!$A$2:$A$482,AB$4,Results!$G$2:$G$482,"&gt;0")&gt;0,_xlfn.MINIFS(Results!$G$2:$G$482,Results!$F$2:$F$482,$A14,Results!$A$2:$A$482,AB$4,Results!$G$2:$G$482,"&gt;0"),IF(COUNTIFS(Results!$F$2:$F$482,$A14,Results!$A$2:$A$482,AB$4,Results!$H$2:$H$482,"DNF")&gt;0,"DNF","•")))</f>
        <v/>
      </c>
      <c r="AC14" s="20" t="str">
        <f aca="false">IF(COUNTIFS(Results!$F$2:$F$482,$A14,Results!$A$2:$A$482,AC$4)=0,"",IF(COUNTIFS(Results!$F$2:$F$482,$A14,Results!$A$2:$A$482,AC$4,Results!$G$2:$G$482,"&gt;0")&gt;0,_xlfn.MINIFS(Results!$G$2:$G$482,Results!$F$2:$F$482,$A14,Results!$A$2:$A$482,AC$4,Results!$G$2:$G$482,"&gt;0"),IF(COUNTIFS(Results!$F$2:$F$482,$A14,Results!$A$2:$A$482,AC$4,Results!$H$2:$H$482,"DNF")&gt;0,"DNF","•")))</f>
        <v/>
      </c>
      <c r="AD14" s="20" t="str">
        <f aca="false">IF(COUNTIFS(Results!$F$2:$F$482,$A14,Results!$A$2:$A$482,AD$4)=0,"",IF(COUNTIFS(Results!$F$2:$F$482,$A14,Results!$A$2:$A$482,AD$4,Results!$G$2:$G$482,"&gt;0")&gt;0,_xlfn.MINIFS(Results!$G$2:$G$482,Results!$F$2:$F$482,$A14,Results!$A$2:$A$482,AD$4,Results!$G$2:$G$482,"&gt;0"),IF(COUNTIFS(Results!$F$2:$F$482,$A14,Results!$A$2:$A$482,AD$4,Results!$H$2:$H$482,"DNF")&gt;0,"DNF","•")))</f>
        <v/>
      </c>
      <c r="AE14" s="20" t="str">
        <f aca="false">IF(COUNTIFS(Results!$F$2:$F$482,$A14,Results!$A$2:$A$482,AE$4)=0,"",IF(COUNTIFS(Results!$F$2:$F$482,$A14,Results!$A$2:$A$482,AE$4,Results!$G$2:$G$482,"&gt;0")&gt;0,_xlfn.MINIFS(Results!$G$2:$G$482,Results!$F$2:$F$482,$A14,Results!$A$2:$A$482,AE$4,Results!$G$2:$G$482,"&gt;0"),IF(COUNTIFS(Results!$F$2:$F$482,$A14,Results!$A$2:$A$482,AE$4,Results!$H$2:$H$482,"DNF")&gt;0,"DNF","•")))</f>
        <v/>
      </c>
      <c r="AF14" s="20" t="str">
        <f aca="false">IF(COUNTIFS(Results!$F$2:$F$482,$A14,Results!$A$2:$A$482,AF$4)=0,"",IF(COUNTIFS(Results!$F$2:$F$482,$A14,Results!$A$2:$A$482,AF$4,Results!$G$2:$G$482,"&gt;0")&gt;0,_xlfn.MINIFS(Results!$G$2:$G$482,Results!$F$2:$F$482,$A14,Results!$A$2:$A$482,AF$4,Results!$G$2:$G$482,"&gt;0"),IF(COUNTIFS(Results!$F$2:$F$482,$A14,Results!$A$2:$A$482,AF$4,Results!$H$2:$H$482,"DNF")&gt;0,"DNF","•")))</f>
        <v/>
      </c>
      <c r="AG14" s="20" t="str">
        <f aca="false">IF(COUNTIFS(Results!$F$2:$F$482,$A14,Results!$A$2:$A$482,AG$4)=0,"",IF(COUNTIFS(Results!$F$2:$F$482,$A14,Results!$A$2:$A$482,AG$4,Results!$G$2:$G$482,"&gt;0")&gt;0,_xlfn.MINIFS(Results!$G$2:$G$482,Results!$F$2:$F$482,$A14,Results!$A$2:$A$482,AG$4,Results!$G$2:$G$482,"&gt;0"),IF(COUNTIFS(Results!$F$2:$F$482,$A14,Results!$A$2:$A$482,AG$4,Results!$H$2:$H$482,"DNF")&gt;0,"DNF","•")))</f>
        <v/>
      </c>
      <c r="AH14" s="20" t="str">
        <f aca="false">IF(COUNTIFS(Results!$F$2:$F$482,$A14,Results!$A$2:$A$482,AH$4)=0,"",IF(COUNTIFS(Results!$F$2:$F$482,$A14,Results!$A$2:$A$482,AH$4,Results!$G$2:$G$482,"&gt;0")&gt;0,_xlfn.MINIFS(Results!$G$2:$G$482,Results!$F$2:$F$482,$A14,Results!$A$2:$A$482,AH$4,Results!$G$2:$G$482,"&gt;0"),IF(COUNTIFS(Results!$F$2:$F$482,$A14,Results!$A$2:$A$482,AH$4,Results!$H$2:$H$482,"DNF")&gt;0,"DNF","•")))</f>
        <v/>
      </c>
      <c r="AI14" s="20" t="n">
        <f aca="false">IF(COUNTIFS(Results!$F$2:$F$482,$A14,Results!$A$2:$A$482,AI$4)=0,"",IF(COUNTIFS(Results!$F$2:$F$482,$A14,Results!$A$2:$A$482,AI$4,Results!$G$2:$G$482,"&gt;0")&gt;0,_xlfn.MINIFS(Results!$G$2:$G$482,Results!$F$2:$F$482,$A14,Results!$A$2:$A$482,AI$4,Results!$G$2:$G$482,"&gt;0"),IF(COUNTIFS(Results!$F$2:$F$482,$A14,Results!$A$2:$A$482,AI$4,Results!$H$2:$H$482,"DNF")&gt;0,"DNF","•")))</f>
        <v>8</v>
      </c>
      <c r="AJ14" s="20" t="str">
        <f aca="false">IF(COUNTIFS(Results!$F$2:$F$482,$A14,Results!$A$2:$A$482,AJ$4)=0,"",IF(COUNTIFS(Results!$F$2:$F$482,$A14,Results!$A$2:$A$482,AJ$4,Results!$G$2:$G$482,"&gt;0")&gt;0,_xlfn.MINIFS(Results!$G$2:$G$482,Results!$F$2:$F$482,$A14,Results!$A$2:$A$482,AJ$4,Results!$G$2:$G$482,"&gt;0"),IF(COUNTIFS(Results!$F$2:$F$482,$A14,Results!$A$2:$A$482,AJ$4,Results!$H$2:$H$482,"DNF")&gt;0,"DNF","•")))</f>
        <v/>
      </c>
      <c r="AK14" s="20" t="n">
        <f aca="false">IF(COUNTIFS(Results!$F$2:$F$482,$A14,Results!$A$2:$A$482,AK$4)=0,"",IF(COUNTIFS(Results!$F$2:$F$482,$A14,Results!$A$2:$A$482,AK$4,Results!$G$2:$G$482,"&gt;0")&gt;0,_xlfn.MINIFS(Results!$G$2:$G$482,Results!$F$2:$F$482,$A14,Results!$A$2:$A$482,AK$4,Results!$G$2:$G$482,"&gt;0"),IF(COUNTIFS(Results!$F$2:$F$482,$A14,Results!$A$2:$A$482,AK$4,Results!$H$2:$H$482,"DNF")&gt;0,"DNF","•")))</f>
        <v>3</v>
      </c>
      <c r="AL14" s="20" t="str">
        <f aca="false">IF(COUNTIFS(Results!$F$2:$F$482,$A14,Results!$A$2:$A$482,AL$4)=0,"",IF(COUNTIFS(Results!$F$2:$F$482,$A14,Results!$A$2:$A$482,AL$4,Results!$G$2:$G$482,"&gt;0")&gt;0,_xlfn.MINIFS(Results!$G$2:$G$482,Results!$F$2:$F$482,$A14,Results!$A$2:$A$482,AL$4,Results!$G$2:$G$482,"&gt;0"),IF(COUNTIFS(Results!$F$2:$F$482,$A14,Results!$A$2:$A$482,AL$4,Results!$H$2:$H$482,"DNF")&gt;0,"DNF","•")))</f>
        <v/>
      </c>
      <c r="AM14" s="20" t="str">
        <f aca="false">IF(COUNTIFS(Results!$F$2:$F$482,$A14,Results!$A$2:$A$482,AM$4)=0,"",IF(COUNTIFS(Results!$F$2:$F$482,$A14,Results!$A$2:$A$482,AM$4,Results!$G$2:$G$482,"&gt;0")&gt;0,_xlfn.MINIFS(Results!$G$2:$G$482,Results!$F$2:$F$482,$A14,Results!$A$2:$A$482,AM$4,Results!$G$2:$G$482,"&gt;0"),IF(COUNTIFS(Results!$F$2:$F$482,$A14,Results!$A$2:$A$482,AM$4,Results!$H$2:$H$482,"DNF")&gt;0,"DNF","•")))</f>
        <v/>
      </c>
      <c r="AN14" s="20" t="n">
        <f aca="false">IF(COUNTIFS(Results!$F$2:$F$482,$A14,Results!$A$2:$A$482,AN$4)=0,"",IF(COUNTIFS(Results!$F$2:$F$482,$A14,Results!$A$2:$A$482,AN$4,Results!$G$2:$G$482,"&gt;0")&gt;0,_xlfn.MINIFS(Results!$G$2:$G$482,Results!$F$2:$F$482,$A14,Results!$A$2:$A$482,AN$4,Results!$G$2:$G$482,"&gt;0"),IF(COUNTIFS(Results!$F$2:$F$482,$A14,Results!$A$2:$A$482,AN$4,Results!$H$2:$H$482,"DNF")&gt;0,"DNF","•")))</f>
        <v>2</v>
      </c>
      <c r="AO14" s="20" t="str">
        <f aca="false">IF(COUNTIFS(Results!$F$2:$F$482,$A14,Results!$A$2:$A$482,AO$4)=0,"",IF(COUNTIFS(Results!$F$2:$F$482,$A14,Results!$A$2:$A$482,AO$4,Results!$G$2:$G$482,"&gt;0")&gt;0,_xlfn.MINIFS(Results!$G$2:$G$482,Results!$F$2:$F$482,$A14,Results!$A$2:$A$482,AO$4,Results!$G$2:$G$482,"&gt;0"),IF(COUNTIFS(Results!$F$2:$F$482,$A14,Results!$A$2:$A$482,AO$4,Results!$H$2:$H$482,"DNF")&gt;0,"DNF","•")))</f>
        <v/>
      </c>
      <c r="AP14" s="20" t="str">
        <f aca="false">IF(COUNTIFS(Results!$F$2:$F$482,$A14,Results!$A$2:$A$482,AP$4)=0,"",IF(COUNTIFS(Results!$F$2:$F$482,$A14,Results!$A$2:$A$482,AP$4,Results!$G$2:$G$482,"&gt;0")&gt;0,_xlfn.MINIFS(Results!$G$2:$G$482,Results!$F$2:$F$482,$A14,Results!$A$2:$A$482,AP$4,Results!$G$2:$G$482,"&gt;0"),IF(COUNTIFS(Results!$F$2:$F$482,$A14,Results!$A$2:$A$482,AP$4,Results!$H$2:$H$482,"DNF")&gt;0,"DNF","•")))</f>
        <v/>
      </c>
      <c r="AQ14" s="20" t="n">
        <f aca="false">IF(COUNTIFS(Results!$F$2:$F$482,$A14,Results!$A$2:$A$482,AQ$4)=0,"",IF(COUNTIFS(Results!$F$2:$F$482,$A14,Results!$A$2:$A$482,AQ$4,Results!$G$2:$G$482,"&gt;0")&gt;0,_xlfn.MINIFS(Results!$G$2:$G$482,Results!$F$2:$F$482,$A14,Results!$A$2:$A$482,AQ$4,Results!$G$2:$G$482,"&gt;0"),IF(COUNTIFS(Results!$F$2:$F$482,$A14,Results!$A$2:$A$482,AQ$4,Results!$H$2:$H$482,"DNF")&gt;0,"DNF","•")))</f>
        <v>8</v>
      </c>
      <c r="AR14" s="20" t="str">
        <f aca="false">IF(COUNTIFS(Results!$F$2:$F$482,$A14,Results!$A$2:$A$482,AR$4)=0,"",IF(COUNTIFS(Results!$F$2:$F$482,$A14,Results!$A$2:$A$482,AR$4,Results!$G$2:$G$482,"&gt;0")&gt;0,_xlfn.MINIFS(Results!$G$2:$G$482,Results!$F$2:$F$482,$A14,Results!$A$2:$A$482,AR$4,Results!$G$2:$G$482,"&gt;0"),IF(COUNTIFS(Results!$F$2:$F$482,$A14,Results!$A$2:$A$482,AR$4,Results!$H$2:$H$482,"DNF")&gt;0,"DNF","•")))</f>
        <v/>
      </c>
      <c r="AS14" s="20" t="str">
        <f aca="false">IF(COUNTIFS(Results!$F$2:$F$482,$A14,Results!$A$2:$A$482,AS$4)=0,"",IF(COUNTIFS(Results!$F$2:$F$482,$A14,Results!$A$2:$A$482,AS$4,Results!$G$2:$G$482,"&gt;0")&gt;0,_xlfn.MINIFS(Results!$G$2:$G$482,Results!$F$2:$F$482,$A14,Results!$A$2:$A$482,AS$4,Results!$G$2:$G$482,"&gt;0"),IF(COUNTIFS(Results!$F$2:$F$482,$A14,Results!$A$2:$A$482,AS$4,Results!$H$2:$H$482,"DNF")&gt;0,"DNF","•")))</f>
        <v/>
      </c>
      <c r="AT14" s="20" t="str">
        <f aca="false">IF(COUNTIFS(Results!$F$2:$F$482,$A14,Results!$A$2:$A$482,AT$4)=0,"",IF(COUNTIFS(Results!$F$2:$F$482,$A14,Results!$A$2:$A$482,AT$4,Results!$G$2:$G$482,"&gt;0")&gt;0,_xlfn.MINIFS(Results!$G$2:$G$482,Results!$F$2:$F$482,$A14,Results!$A$2:$A$482,AT$4,Results!$G$2:$G$482,"&gt;0"),IF(COUNTIFS(Results!$F$2:$F$482,$A14,Results!$A$2:$A$482,AT$4,Results!$H$2:$H$482,"DNF")&gt;0,"DNF","•")))</f>
        <v/>
      </c>
      <c r="AU14" s="20" t="str">
        <f aca="false">IF(COUNTIFS(Results!$F$2:$F$482,$A14,Results!$A$2:$A$482,AU$4)=0,"",IF(COUNTIFS(Results!$F$2:$F$482,$A14,Results!$A$2:$A$482,AU$4,Results!$G$2:$G$482,"&gt;0")&gt;0,_xlfn.MINIFS(Results!$G$2:$G$482,Results!$F$2:$F$482,$A14,Results!$A$2:$A$482,AU$4,Results!$G$2:$G$482,"&gt;0"),IF(COUNTIFS(Results!$F$2:$F$482,$A14,Results!$A$2:$A$482,AU$4,Results!$H$2:$H$482,"DNF")&gt;0,"DNF","•")))</f>
        <v/>
      </c>
      <c r="AV14" s="20" t="n">
        <f aca="false">IF(COUNTIFS(Results!$F$2:$F$482,$A14,Results!$A$2:$A$482,AV$4)=0,"",IF(COUNTIFS(Results!$F$2:$F$482,$A14,Results!$A$2:$A$482,AV$4,Results!$G$2:$G$482,"&gt;0")&gt;0,_xlfn.MINIFS(Results!$G$2:$G$482,Results!$F$2:$F$482,$A14,Results!$A$2:$A$482,AV$4,Results!$G$2:$G$482,"&gt;0"),IF(COUNTIFS(Results!$F$2:$F$482,$A14,Results!$A$2:$A$482,AV$4,Results!$H$2:$H$482,"DNF")&gt;0,"DNF","•")))</f>
        <v>2</v>
      </c>
      <c r="AW14" s="20" t="str">
        <f aca="false">IF(COUNTIFS(Results!$F$2:$F$482,$A14,Results!$A$2:$A$482,AW$4)=0,"",IF(COUNTIFS(Results!$F$2:$F$482,$A14,Results!$A$2:$A$482,AW$4,Results!$G$2:$G$482,"&gt;0")&gt;0,_xlfn.MINIFS(Results!$G$2:$G$482,Results!$F$2:$F$482,$A14,Results!$A$2:$A$482,AW$4,Results!$G$2:$G$482,"&gt;0"),IF(COUNTIFS(Results!$F$2:$F$482,$A14,Results!$A$2:$A$482,AW$4,Results!$H$2:$H$482,"DNF")&gt;0,"DNF","•")))</f>
        <v/>
      </c>
      <c r="AX14" s="20" t="str">
        <f aca="false">IF(COUNTIFS(Results!$F$2:$F$482,$A14,Results!$A$2:$A$482,AX$4)=0,"",IF(COUNTIFS(Results!$F$2:$F$482,$A14,Results!$A$2:$A$482,AX$4,Results!$G$2:$G$482,"&gt;0")&gt;0,_xlfn.MINIFS(Results!$G$2:$G$482,Results!$F$2:$F$482,$A14,Results!$A$2:$A$482,AX$4,Results!$G$2:$G$482,"&gt;0"),IF(COUNTIFS(Results!$F$2:$F$482,$A14,Results!$A$2:$A$482,AX$4,Results!$H$2:$H$482,"DNF")&gt;0,"DNF","•")))</f>
        <v/>
      </c>
      <c r="AY14" s="20" t="n">
        <f aca="false">IF(COUNTIFS(Results!$F$2:$F$482,$A14,Results!$A$2:$A$482,AY$4)=0,"",IF(COUNTIFS(Results!$F$2:$F$482,$A14,Results!$A$2:$A$482,AY$4,Results!$G$2:$G$482,"&gt;0")&gt;0,_xlfn.MINIFS(Results!$G$2:$G$482,Results!$F$2:$F$482,$A14,Results!$A$2:$A$482,AY$4,Results!$G$2:$G$482,"&gt;0"),IF(COUNTIFS(Results!$F$2:$F$482,$A14,Results!$A$2:$A$482,AY$4,Results!$H$2:$H$482,"DNF")&gt;0,"DNF","•")))</f>
        <v>47</v>
      </c>
      <c r="AZ14" s="20" t="n">
        <f aca="false">IF(COUNTIFS(Results!$F$2:$F$482,$A14,Results!$A$2:$A$482,AZ$4)=0,"",IF(COUNTIFS(Results!$F$2:$F$482,$A14,Results!$A$2:$A$482,AZ$4,Results!$G$2:$G$482,"&gt;0")&gt;0,_xlfn.MINIFS(Results!$G$2:$G$482,Results!$F$2:$F$482,$A14,Results!$A$2:$A$482,AZ$4,Results!$G$2:$G$482,"&gt;0"),IF(COUNTIFS(Results!$F$2:$F$482,$A14,Results!$A$2:$A$482,AZ$4,Results!$H$2:$H$482,"DNF")&gt;0,"DNF","•")))</f>
        <v>40</v>
      </c>
      <c r="BA14" s="20" t="str">
        <f aca="false">IF(COUNTIFS(Results!$F$2:$F$482,$A14,Results!$A$2:$A$482,BA$4)=0,"",IF(COUNTIFS(Results!$F$2:$F$482,$A14,Results!$A$2:$A$482,BA$4,Results!$G$2:$G$482,"&gt;0")&gt;0,_xlfn.MINIFS(Results!$G$2:$G$482,Results!$F$2:$F$482,$A14,Results!$A$2:$A$482,BA$4,Results!$G$2:$G$482,"&gt;0"),IF(COUNTIFS(Results!$F$2:$F$482,$A14,Results!$A$2:$A$482,BA$4,Results!$H$2:$H$482,"DNF")&gt;0,"DNF","•")))</f>
        <v/>
      </c>
      <c r="BB14" s="20" t="str">
        <f aca="false">IF(COUNTIFS(Results!$F$2:$F$482,$A14,Results!$A$2:$A$482,BB$4)=0,"",IF(COUNTIFS(Results!$F$2:$F$482,$A14,Results!$A$2:$A$482,BB$4,Results!$G$2:$G$482,"&gt;0")&gt;0,_xlfn.MINIFS(Results!$G$2:$G$482,Results!$F$2:$F$482,$A14,Results!$A$2:$A$482,BB$4,Results!$G$2:$G$482,"&gt;0"),IF(COUNTIFS(Results!$F$2:$F$482,$A14,Results!$A$2:$A$482,BB$4,Results!$H$2:$H$482,"DNF")&gt;0,"DNF","•")))</f>
        <v/>
      </c>
      <c r="BC14" s="20" t="str">
        <f aca="false">IF(COUNTIFS(Results!$F$2:$F$482,$A14,Results!$A$2:$A$482,BC$4)=0,"",IF(COUNTIFS(Results!$F$2:$F$482,$A14,Results!$A$2:$A$482,BC$4,Results!$G$2:$G$482,"&gt;0")&gt;0,_xlfn.MINIFS(Results!$G$2:$G$482,Results!$F$2:$F$482,$A14,Results!$A$2:$A$482,BC$4,Results!$G$2:$G$482,"&gt;0"),IF(COUNTIFS(Results!$F$2:$F$482,$A14,Results!$A$2:$A$482,BC$4,Results!$H$2:$H$482,"DNF")&gt;0,"DNF","•")))</f>
        <v/>
      </c>
      <c r="BD14" s="20" t="str">
        <f aca="false">IF(COUNTIFS(Results!$F$2:$F$482,$A14,Results!$A$2:$A$482,BD$4)=0,"",IF(COUNTIFS(Results!$F$2:$F$482,$A14,Results!$A$2:$A$482,BD$4,Results!$G$2:$G$482,"&gt;0")&gt;0,_xlfn.MINIFS(Results!$G$2:$G$482,Results!$F$2:$F$482,$A14,Results!$A$2:$A$482,BD$4,Results!$G$2:$G$482,"&gt;0"),IF(COUNTIFS(Results!$F$2:$F$482,$A14,Results!$A$2:$A$482,BD$4,Results!$H$2:$H$482,"DNF")&gt;0,"DNF","•")))</f>
        <v/>
      </c>
      <c r="BE14" s="20" t="str">
        <f aca="false">IF(COUNTIFS(Results!$F$2:$F$482,$A14,Results!$A$2:$A$482,BE$4)=0,"",IF(COUNTIFS(Results!$F$2:$F$482,$A14,Results!$A$2:$A$482,BE$4,Results!$G$2:$G$482,"&gt;0")&gt;0,_xlfn.MINIFS(Results!$G$2:$G$482,Results!$F$2:$F$482,$A14,Results!$A$2:$A$482,BE$4,Results!$G$2:$G$482,"&gt;0"),IF(COUNTIFS(Results!$F$2:$F$482,$A14,Results!$A$2:$A$482,BE$4,Results!$H$2:$H$482,"DNF")&gt;0,"DNF","•")))</f>
        <v/>
      </c>
      <c r="BF14" s="20" t="str">
        <f aca="false">IF(COUNTIFS(Results!$F$2:$F$482,$A14,Results!$A$2:$A$482,BF$4)=0,"",IF(COUNTIFS(Results!$F$2:$F$482,$A14,Results!$A$2:$A$482,BF$4,Results!$G$2:$G$482,"&gt;0")&gt;0,_xlfn.MINIFS(Results!$G$2:$G$482,Results!$F$2:$F$482,$A14,Results!$A$2:$A$482,BF$4,Results!$G$2:$G$482,"&gt;0"),IF(COUNTIFS(Results!$F$2:$F$482,$A14,Results!$A$2:$A$482,BF$4,Results!$H$2:$H$482,"DNF")&gt;0,"DNF","•")))</f>
        <v/>
      </c>
      <c r="BG14" s="20" t="str">
        <f aca="false">IF(COUNTIFS(Results!$F$2:$F$482,$A14,Results!$A$2:$A$482,BG$4)=0,"",IF(COUNTIFS(Results!$F$2:$F$482,$A14,Results!$A$2:$A$482,BG$4,Results!$G$2:$G$482,"&gt;0")&gt;0,_xlfn.MINIFS(Results!$G$2:$G$482,Results!$F$2:$F$482,$A14,Results!$A$2:$A$482,BG$4,Results!$G$2:$G$482,"&gt;0"),IF(COUNTIFS(Results!$F$2:$F$482,$A14,Results!$A$2:$A$482,BG$4,Results!$H$2:$H$482,"DNF")&gt;0,"DNF","•")))</f>
        <v/>
      </c>
      <c r="BH14" s="20" t="str">
        <f aca="false">IF(COUNTIFS(Results!$F$2:$F$482,$A14,Results!$A$2:$A$482,BH$4)=0,"",IF(COUNTIFS(Results!$F$2:$F$482,$A14,Results!$A$2:$A$482,BH$4,Results!$G$2:$G$482,"&gt;0")&gt;0,_xlfn.MINIFS(Results!$G$2:$G$482,Results!$F$2:$F$482,$A14,Results!$A$2:$A$482,BH$4,Results!$G$2:$G$482,"&gt;0"),IF(COUNTIFS(Results!$F$2:$F$482,$A14,Results!$A$2:$A$482,BH$4,Results!$H$2:$H$482,"DNF")&gt;0,"DNF","•")))</f>
        <v/>
      </c>
      <c r="BI14" s="20" t="str">
        <f aca="false">IF(COUNTIFS(Results!$F$2:$F$482,$A14,Results!$A$2:$A$482,BI$4)=0,"",IF(COUNTIFS(Results!$F$2:$F$482,$A14,Results!$A$2:$A$482,BI$4,Results!$G$2:$G$482,"&gt;0")&gt;0,_xlfn.MINIFS(Results!$G$2:$G$482,Results!$F$2:$F$482,$A14,Results!$A$2:$A$482,BI$4,Results!$G$2:$G$482,"&gt;0"),IF(COUNTIFS(Results!$F$2:$F$482,$A14,Results!$A$2:$A$482,BI$4,Results!$H$2:$H$482,"DNF")&gt;0,"DNF","•")))</f>
        <v/>
      </c>
      <c r="BJ14" s="20" t="str">
        <f aca="false">IF(COUNTIFS(Results!$F$2:$F$482,$A14,Results!$A$2:$A$482,BJ$4)=0,"",IF(COUNTIFS(Results!$F$2:$F$482,$A14,Results!$A$2:$A$482,BJ$4,Results!$G$2:$G$482,"&gt;0")&gt;0,_xlfn.MINIFS(Results!$G$2:$G$482,Results!$F$2:$F$482,$A14,Results!$A$2:$A$482,BJ$4,Results!$G$2:$G$482,"&gt;0"),IF(COUNTIFS(Results!$F$2:$F$482,$A14,Results!$A$2:$A$482,BJ$4,Results!$H$2:$H$482,"DNF")&gt;0,"DNF","•")))</f>
        <v/>
      </c>
      <c r="BK14" s="20" t="str">
        <f aca="false">IF(COUNTIFS(Results!$F$2:$F$482,$A14,Results!$A$2:$A$482,BK$4)=0,"",IF(COUNTIFS(Results!$F$2:$F$482,$A14,Results!$A$2:$A$482,BK$4,Results!$G$2:$G$482,"&gt;0")&gt;0,_xlfn.MINIFS(Results!$G$2:$G$482,Results!$F$2:$F$482,$A14,Results!$A$2:$A$482,BK$4,Results!$G$2:$G$482,"&gt;0"),IF(COUNTIFS(Results!$F$2:$F$482,$A14,Results!$A$2:$A$482,BK$4,Results!$H$2:$H$482,"DNF")&gt;0,"DNF","•")))</f>
        <v/>
      </c>
      <c r="BL14" s="20" t="str">
        <f aca="false">IF(COUNTIFS(Results!$F$2:$F$482,$A14,Results!$A$2:$A$482,BL$4)=0,"",IF(COUNTIFS(Results!$F$2:$F$482,$A14,Results!$A$2:$A$482,BL$4,Results!$G$2:$G$482,"&gt;0")&gt;0,_xlfn.MINIFS(Results!$G$2:$G$482,Results!$F$2:$F$482,$A14,Results!$A$2:$A$482,BL$4,Results!$G$2:$G$482,"&gt;0"),IF(COUNTIFS(Results!$F$2:$F$482,$A14,Results!$A$2:$A$482,BL$4,Results!$H$2:$H$482,"DNF")&gt;0,"DNF","•")))</f>
        <v/>
      </c>
    </row>
    <row r="15" customFormat="false" ht="15" hidden="false" customHeight="false" outlineLevel="0" collapsed="false">
      <c r="A15" s="7" t="str">
        <f aca="false">Riders!A13</f>
        <v>Nadia Hartman</v>
      </c>
      <c r="B15" s="20" t="str">
        <f aca="false">IF(COUNTIFS(Results!$F$2:$F$482,$A15,Results!$A$2:$A$482,B$4)=0,"",IF(COUNTIFS(Results!$F$2:$F$482,$A15,Results!$A$2:$A$482,B$4,Results!$G$2:$G$482,"&gt;0")&gt;0,_xlfn.MINIFS(Results!$G$2:$G$482,Results!$F$2:$F$482,$A15,Results!$A$2:$A$482,B$4,Results!$G$2:$G$482,"&gt;0"),IF(COUNTIFS(Results!$F$2:$F$482,$A15,Results!$A$2:$A$482,B$4,Results!$H$2:$H$482,"DNF")&gt;0,"DNF","•")))</f>
        <v/>
      </c>
      <c r="C15" s="20" t="str">
        <f aca="false">IF(COUNTIFS(Results!$F$2:$F$482,$A15,Results!$A$2:$A$482,C$4)=0,"",IF(COUNTIFS(Results!$F$2:$F$482,$A15,Results!$A$2:$A$482,C$4,Results!$G$2:$G$482,"&gt;0")&gt;0,_xlfn.MINIFS(Results!$G$2:$G$482,Results!$F$2:$F$482,$A15,Results!$A$2:$A$482,C$4,Results!$G$2:$G$482,"&gt;0"),IF(COUNTIFS(Results!$F$2:$F$482,$A15,Results!$A$2:$A$482,C$4,Results!$H$2:$H$482,"DNF")&gt;0,"DNF","•")))</f>
        <v/>
      </c>
      <c r="D15" s="20" t="str">
        <f aca="false">IF(COUNTIFS(Results!$F$2:$F$482,$A15,Results!$A$2:$A$482,D$4)=0,"",IF(COUNTIFS(Results!$F$2:$F$482,$A15,Results!$A$2:$A$482,D$4,Results!$G$2:$G$482,"&gt;0")&gt;0,_xlfn.MINIFS(Results!$G$2:$G$482,Results!$F$2:$F$482,$A15,Results!$A$2:$A$482,D$4,Results!$G$2:$G$482,"&gt;0"),IF(COUNTIFS(Results!$F$2:$F$482,$A15,Results!$A$2:$A$482,D$4,Results!$H$2:$H$482,"DNF")&gt;0,"DNF","•")))</f>
        <v/>
      </c>
      <c r="E15" s="20" t="str">
        <f aca="false">IF(COUNTIFS(Results!$F$2:$F$482,$A15,Results!$A$2:$A$482,E$4)=0,"",IF(COUNTIFS(Results!$F$2:$F$482,$A15,Results!$A$2:$A$482,E$4,Results!$G$2:$G$482,"&gt;0")&gt;0,_xlfn.MINIFS(Results!$G$2:$G$482,Results!$F$2:$F$482,$A15,Results!$A$2:$A$482,E$4,Results!$G$2:$G$482,"&gt;0"),IF(COUNTIFS(Results!$F$2:$F$482,$A15,Results!$A$2:$A$482,E$4,Results!$H$2:$H$482,"DNF")&gt;0,"DNF","•")))</f>
        <v/>
      </c>
      <c r="F15" s="20" t="str">
        <f aca="false">IF(COUNTIFS(Results!$F$2:$F$482,$A15,Results!$A$2:$A$482,F$4)=0,"",IF(COUNTIFS(Results!$F$2:$F$482,$A15,Results!$A$2:$A$482,F$4,Results!$G$2:$G$482,"&gt;0")&gt;0,_xlfn.MINIFS(Results!$G$2:$G$482,Results!$F$2:$F$482,$A15,Results!$A$2:$A$482,F$4,Results!$G$2:$G$482,"&gt;0"),IF(COUNTIFS(Results!$F$2:$F$482,$A15,Results!$A$2:$A$482,F$4,Results!$H$2:$H$482,"DNF")&gt;0,"DNF","•")))</f>
        <v/>
      </c>
      <c r="G15" s="20" t="n">
        <f aca="false">IF(COUNTIFS(Results!$F$2:$F$482,$A15,Results!$A$2:$A$482,G$4)=0,"",IF(COUNTIFS(Results!$F$2:$F$482,$A15,Results!$A$2:$A$482,G$4,Results!$G$2:$G$482,"&gt;0")&gt;0,_xlfn.MINIFS(Results!$G$2:$G$482,Results!$F$2:$F$482,$A15,Results!$A$2:$A$482,G$4,Results!$G$2:$G$482,"&gt;0"),IF(COUNTIFS(Results!$F$2:$F$482,$A15,Results!$A$2:$A$482,G$4,Results!$H$2:$H$482,"DNF")&gt;0,"DNF","•")))</f>
        <v>56</v>
      </c>
      <c r="H15" s="20" t="str">
        <f aca="false">IF(COUNTIFS(Results!$F$2:$F$482,$A15,Results!$A$2:$A$482,H$4)=0,"",IF(COUNTIFS(Results!$F$2:$F$482,$A15,Results!$A$2:$A$482,H$4,Results!$G$2:$G$482,"&gt;0")&gt;0,_xlfn.MINIFS(Results!$G$2:$G$482,Results!$F$2:$F$482,$A15,Results!$A$2:$A$482,H$4,Results!$G$2:$G$482,"&gt;0"),IF(COUNTIFS(Results!$F$2:$F$482,$A15,Results!$A$2:$A$482,H$4,Results!$H$2:$H$482,"DNF")&gt;0,"DNF","•")))</f>
        <v/>
      </c>
      <c r="I15" s="20" t="str">
        <f aca="false">IF(COUNTIFS(Results!$F$2:$F$482,$A15,Results!$A$2:$A$482,I$4)=0,"",IF(COUNTIFS(Results!$F$2:$F$482,$A15,Results!$A$2:$A$482,I$4,Results!$G$2:$G$482,"&gt;0")&gt;0,_xlfn.MINIFS(Results!$G$2:$G$482,Results!$F$2:$F$482,$A15,Results!$A$2:$A$482,I$4,Results!$G$2:$G$482,"&gt;0"),IF(COUNTIFS(Results!$F$2:$F$482,$A15,Results!$A$2:$A$482,I$4,Results!$H$2:$H$482,"DNF")&gt;0,"DNF","•")))</f>
        <v/>
      </c>
      <c r="J15" s="20" t="str">
        <f aca="false">IF(COUNTIFS(Results!$F$2:$F$482,$A15,Results!$A$2:$A$482,J$4)=0,"",IF(COUNTIFS(Results!$F$2:$F$482,$A15,Results!$A$2:$A$482,J$4,Results!$G$2:$G$482,"&gt;0")&gt;0,_xlfn.MINIFS(Results!$G$2:$G$482,Results!$F$2:$F$482,$A15,Results!$A$2:$A$482,J$4,Results!$G$2:$G$482,"&gt;0"),IF(COUNTIFS(Results!$F$2:$F$482,$A15,Results!$A$2:$A$482,J$4,Results!$H$2:$H$482,"DNF")&gt;0,"DNF","•")))</f>
        <v/>
      </c>
      <c r="K15" s="20" t="n">
        <f aca="false">IF(COUNTIFS(Results!$F$2:$F$482,$A15,Results!$A$2:$A$482,K$4)=0,"",IF(COUNTIFS(Results!$F$2:$F$482,$A15,Results!$A$2:$A$482,K$4,Results!$G$2:$G$482,"&gt;0")&gt;0,_xlfn.MINIFS(Results!$G$2:$G$482,Results!$F$2:$F$482,$A15,Results!$A$2:$A$482,K$4,Results!$G$2:$G$482,"&gt;0"),IF(COUNTIFS(Results!$F$2:$F$482,$A15,Results!$A$2:$A$482,K$4,Results!$H$2:$H$482,"DNF")&gt;0,"DNF","•")))</f>
        <v>37</v>
      </c>
      <c r="L15" s="20" t="n">
        <f aca="false">IF(COUNTIFS(Results!$F$2:$F$482,$A15,Results!$A$2:$A$482,L$4)=0,"",IF(COUNTIFS(Results!$F$2:$F$482,$A15,Results!$A$2:$A$482,L$4,Results!$G$2:$G$482,"&gt;0")&gt;0,_xlfn.MINIFS(Results!$G$2:$G$482,Results!$F$2:$F$482,$A15,Results!$A$2:$A$482,L$4,Results!$G$2:$G$482,"&gt;0"),IF(COUNTIFS(Results!$F$2:$F$482,$A15,Results!$A$2:$A$482,L$4,Results!$H$2:$H$482,"DNF")&gt;0,"DNF","•")))</f>
        <v>63</v>
      </c>
      <c r="M15" s="20" t="str">
        <f aca="false">IF(COUNTIFS(Results!$F$2:$F$482,$A15,Results!$A$2:$A$482,M$4)=0,"",IF(COUNTIFS(Results!$F$2:$F$482,$A15,Results!$A$2:$A$482,M$4,Results!$G$2:$G$482,"&gt;0")&gt;0,_xlfn.MINIFS(Results!$G$2:$G$482,Results!$F$2:$F$482,$A15,Results!$A$2:$A$482,M$4,Results!$G$2:$G$482,"&gt;0"),IF(COUNTIFS(Results!$F$2:$F$482,$A15,Results!$A$2:$A$482,M$4,Results!$H$2:$H$482,"DNF")&gt;0,"DNF","•")))</f>
        <v/>
      </c>
      <c r="N15" s="20" t="str">
        <f aca="false">IF(COUNTIFS(Results!$F$2:$F$482,$A15,Results!$A$2:$A$482,N$4)=0,"",IF(COUNTIFS(Results!$F$2:$F$482,$A15,Results!$A$2:$A$482,N$4,Results!$G$2:$G$482,"&gt;0")&gt;0,_xlfn.MINIFS(Results!$G$2:$G$482,Results!$F$2:$F$482,$A15,Results!$A$2:$A$482,N$4,Results!$G$2:$G$482,"&gt;0"),IF(COUNTIFS(Results!$F$2:$F$482,$A15,Results!$A$2:$A$482,N$4,Results!$H$2:$H$482,"DNF")&gt;0,"DNF","•")))</f>
        <v/>
      </c>
      <c r="O15" s="20" t="n">
        <f aca="false">IF(COUNTIFS(Results!$F$2:$F$482,$A15,Results!$A$2:$A$482,O$4)=0,"",IF(COUNTIFS(Results!$F$2:$F$482,$A15,Results!$A$2:$A$482,O$4,Results!$G$2:$G$482,"&gt;0")&gt;0,_xlfn.MINIFS(Results!$G$2:$G$482,Results!$F$2:$F$482,$A15,Results!$A$2:$A$482,O$4,Results!$G$2:$G$482,"&gt;0"),IF(COUNTIFS(Results!$F$2:$F$482,$A15,Results!$A$2:$A$482,O$4,Results!$H$2:$H$482,"DNF")&gt;0,"DNF","•")))</f>
        <v>55</v>
      </c>
      <c r="P15" s="20" t="str">
        <f aca="false">IF(COUNTIFS(Results!$F$2:$F$482,$A15,Results!$A$2:$A$482,P$4)=0,"",IF(COUNTIFS(Results!$F$2:$F$482,$A15,Results!$A$2:$A$482,P$4,Results!$G$2:$G$482,"&gt;0")&gt;0,_xlfn.MINIFS(Results!$G$2:$G$482,Results!$F$2:$F$482,$A15,Results!$A$2:$A$482,P$4,Results!$G$2:$G$482,"&gt;0"),IF(COUNTIFS(Results!$F$2:$F$482,$A15,Results!$A$2:$A$482,P$4,Results!$H$2:$H$482,"DNF")&gt;0,"DNF","•")))</f>
        <v/>
      </c>
      <c r="Q15" s="20" t="str">
        <f aca="false">IF(COUNTIFS(Results!$F$2:$F$482,$A15,Results!$A$2:$A$482,Q$4)=0,"",IF(COUNTIFS(Results!$F$2:$F$482,$A15,Results!$A$2:$A$482,Q$4,Results!$G$2:$G$482,"&gt;0")&gt;0,_xlfn.MINIFS(Results!$G$2:$G$482,Results!$F$2:$F$482,$A15,Results!$A$2:$A$482,Q$4,Results!$G$2:$G$482,"&gt;0"),IF(COUNTIFS(Results!$F$2:$F$482,$A15,Results!$A$2:$A$482,Q$4,Results!$H$2:$H$482,"DNF")&gt;0,"DNF","•")))</f>
        <v/>
      </c>
      <c r="R15" s="20" t="str">
        <f aca="false">IF(COUNTIFS(Results!$F$2:$F$482,$A15,Results!$A$2:$A$482,R$4)=0,"",IF(COUNTIFS(Results!$F$2:$F$482,$A15,Results!$A$2:$A$482,R$4,Results!$G$2:$G$482,"&gt;0")&gt;0,_xlfn.MINIFS(Results!$G$2:$G$482,Results!$F$2:$F$482,$A15,Results!$A$2:$A$482,R$4,Results!$G$2:$G$482,"&gt;0"),IF(COUNTIFS(Results!$F$2:$F$482,$A15,Results!$A$2:$A$482,R$4,Results!$H$2:$H$482,"DNF")&gt;0,"DNF","•")))</f>
        <v/>
      </c>
      <c r="S15" s="20" t="str">
        <f aca="false">IF(COUNTIFS(Results!$F$2:$F$482,$A15,Results!$A$2:$A$482,S$4)=0,"",IF(COUNTIFS(Results!$F$2:$F$482,$A15,Results!$A$2:$A$482,S$4,Results!$G$2:$G$482,"&gt;0")&gt;0,_xlfn.MINIFS(Results!$G$2:$G$482,Results!$F$2:$F$482,$A15,Results!$A$2:$A$482,S$4,Results!$G$2:$G$482,"&gt;0"),IF(COUNTIFS(Results!$F$2:$F$482,$A15,Results!$A$2:$A$482,S$4,Results!$H$2:$H$482,"DNF")&gt;0,"DNF","•")))</f>
        <v/>
      </c>
      <c r="T15" s="20" t="str">
        <f aca="false">IF(COUNTIFS(Results!$F$2:$F$482,$A15,Results!$A$2:$A$482,T$4)=0,"",IF(COUNTIFS(Results!$F$2:$F$482,$A15,Results!$A$2:$A$482,T$4,Results!$G$2:$G$482,"&gt;0")&gt;0,_xlfn.MINIFS(Results!$G$2:$G$482,Results!$F$2:$F$482,$A15,Results!$A$2:$A$482,T$4,Results!$G$2:$G$482,"&gt;0"),IF(COUNTIFS(Results!$F$2:$F$482,$A15,Results!$A$2:$A$482,T$4,Results!$H$2:$H$482,"DNF")&gt;0,"DNF","•")))</f>
        <v/>
      </c>
      <c r="U15" s="20" t="n">
        <f aca="false">IF(COUNTIFS(Results!$F$2:$F$482,$A15,Results!$A$2:$A$482,U$4)=0,"",IF(COUNTIFS(Results!$F$2:$F$482,$A15,Results!$A$2:$A$482,U$4,Results!$G$2:$G$482,"&gt;0")&gt;0,_xlfn.MINIFS(Results!$G$2:$G$482,Results!$F$2:$F$482,$A15,Results!$A$2:$A$482,U$4,Results!$G$2:$G$482,"&gt;0"),IF(COUNTIFS(Results!$F$2:$F$482,$A15,Results!$A$2:$A$482,U$4,Results!$H$2:$H$482,"DNF")&gt;0,"DNF","•")))</f>
        <v>15</v>
      </c>
      <c r="V15" s="20" t="str">
        <f aca="false">IF(COUNTIFS(Results!$F$2:$F$482,$A15,Results!$A$2:$A$482,V$4)=0,"",IF(COUNTIFS(Results!$F$2:$F$482,$A15,Results!$A$2:$A$482,V$4,Results!$G$2:$G$482,"&gt;0")&gt;0,_xlfn.MINIFS(Results!$G$2:$G$482,Results!$F$2:$F$482,$A15,Results!$A$2:$A$482,V$4,Results!$G$2:$G$482,"&gt;0"),IF(COUNTIFS(Results!$F$2:$F$482,$A15,Results!$A$2:$A$482,V$4,Results!$H$2:$H$482,"DNF")&gt;0,"DNF","•")))</f>
        <v/>
      </c>
      <c r="W15" s="20" t="str">
        <f aca="false">IF(COUNTIFS(Results!$F$2:$F$482,$A15,Results!$A$2:$A$482,W$4)=0,"",IF(COUNTIFS(Results!$F$2:$F$482,$A15,Results!$A$2:$A$482,W$4,Results!$G$2:$G$482,"&gt;0")&gt;0,_xlfn.MINIFS(Results!$G$2:$G$482,Results!$F$2:$F$482,$A15,Results!$A$2:$A$482,W$4,Results!$G$2:$G$482,"&gt;0"),IF(COUNTIFS(Results!$F$2:$F$482,$A15,Results!$A$2:$A$482,W$4,Results!$H$2:$H$482,"DNF")&gt;0,"DNF","•")))</f>
        <v/>
      </c>
      <c r="X15" s="20" t="str">
        <f aca="false">IF(COUNTIFS(Results!$F$2:$F$482,$A15,Results!$A$2:$A$482,X$4)=0,"",IF(COUNTIFS(Results!$F$2:$F$482,$A15,Results!$A$2:$A$482,X$4,Results!$G$2:$G$482,"&gt;0")&gt;0,_xlfn.MINIFS(Results!$G$2:$G$482,Results!$F$2:$F$482,$A15,Results!$A$2:$A$482,X$4,Results!$G$2:$G$482,"&gt;0"),IF(COUNTIFS(Results!$F$2:$F$482,$A15,Results!$A$2:$A$482,X$4,Results!$H$2:$H$482,"DNF")&gt;0,"DNF","•")))</f>
        <v/>
      </c>
      <c r="Y15" s="20" t="n">
        <f aca="false">IF(COUNTIFS(Results!$F$2:$F$482,$A15,Results!$A$2:$A$482,Y$4)=0,"",IF(COUNTIFS(Results!$F$2:$F$482,$A15,Results!$A$2:$A$482,Y$4,Results!$G$2:$G$482,"&gt;0")&gt;0,_xlfn.MINIFS(Results!$G$2:$G$482,Results!$F$2:$F$482,$A15,Results!$A$2:$A$482,Y$4,Results!$G$2:$G$482,"&gt;0"),IF(COUNTIFS(Results!$F$2:$F$482,$A15,Results!$A$2:$A$482,Y$4,Results!$H$2:$H$482,"DNF")&gt;0,"DNF","•")))</f>
        <v>58</v>
      </c>
      <c r="Z15" s="20" t="n">
        <f aca="false">IF(COUNTIFS(Results!$F$2:$F$482,$A15,Results!$A$2:$A$482,Z$4)=0,"",IF(COUNTIFS(Results!$F$2:$F$482,$A15,Results!$A$2:$A$482,Z$4,Results!$G$2:$G$482,"&gt;0")&gt;0,_xlfn.MINIFS(Results!$G$2:$G$482,Results!$F$2:$F$482,$A15,Results!$A$2:$A$482,Z$4,Results!$G$2:$G$482,"&gt;0"),IF(COUNTIFS(Results!$F$2:$F$482,$A15,Results!$A$2:$A$482,Z$4,Results!$H$2:$H$482,"DNF")&gt;0,"DNF","•")))</f>
        <v>7</v>
      </c>
      <c r="AA15" s="20" t="str">
        <f aca="false">IF(COUNTIFS(Results!$F$2:$F$482,$A15,Results!$A$2:$A$482,AA$4)=0,"",IF(COUNTIFS(Results!$F$2:$F$482,$A15,Results!$A$2:$A$482,AA$4,Results!$G$2:$G$482,"&gt;0")&gt;0,_xlfn.MINIFS(Results!$G$2:$G$482,Results!$F$2:$F$482,$A15,Results!$A$2:$A$482,AA$4,Results!$G$2:$G$482,"&gt;0"),IF(COUNTIFS(Results!$F$2:$F$482,$A15,Results!$A$2:$A$482,AA$4,Results!$H$2:$H$482,"DNF")&gt;0,"DNF","•")))</f>
        <v/>
      </c>
      <c r="AB15" s="20" t="str">
        <f aca="false">IF(COUNTIFS(Results!$F$2:$F$482,$A15,Results!$A$2:$A$482,AB$4)=0,"",IF(COUNTIFS(Results!$F$2:$F$482,$A15,Results!$A$2:$A$482,AB$4,Results!$G$2:$G$482,"&gt;0")&gt;0,_xlfn.MINIFS(Results!$G$2:$G$482,Results!$F$2:$F$482,$A15,Results!$A$2:$A$482,AB$4,Results!$G$2:$G$482,"&gt;0"),IF(COUNTIFS(Results!$F$2:$F$482,$A15,Results!$A$2:$A$482,AB$4,Results!$H$2:$H$482,"DNF")&gt;0,"DNF","•")))</f>
        <v/>
      </c>
      <c r="AC15" s="20" t="str">
        <f aca="false">IF(COUNTIFS(Results!$F$2:$F$482,$A15,Results!$A$2:$A$482,AC$4)=0,"",IF(COUNTIFS(Results!$F$2:$F$482,$A15,Results!$A$2:$A$482,AC$4,Results!$G$2:$G$482,"&gt;0")&gt;0,_xlfn.MINIFS(Results!$G$2:$G$482,Results!$F$2:$F$482,$A15,Results!$A$2:$A$482,AC$4,Results!$G$2:$G$482,"&gt;0"),IF(COUNTIFS(Results!$F$2:$F$482,$A15,Results!$A$2:$A$482,AC$4,Results!$H$2:$H$482,"DNF")&gt;0,"DNF","•")))</f>
        <v/>
      </c>
      <c r="AD15" s="20" t="str">
        <f aca="false">IF(COUNTIFS(Results!$F$2:$F$482,$A15,Results!$A$2:$A$482,AD$4)=0,"",IF(COUNTIFS(Results!$F$2:$F$482,$A15,Results!$A$2:$A$482,AD$4,Results!$G$2:$G$482,"&gt;0")&gt;0,_xlfn.MINIFS(Results!$G$2:$G$482,Results!$F$2:$F$482,$A15,Results!$A$2:$A$482,AD$4,Results!$G$2:$G$482,"&gt;0"),IF(COUNTIFS(Results!$F$2:$F$482,$A15,Results!$A$2:$A$482,AD$4,Results!$H$2:$H$482,"DNF")&gt;0,"DNF","•")))</f>
        <v/>
      </c>
      <c r="AE15" s="20" t="str">
        <f aca="false">IF(COUNTIFS(Results!$F$2:$F$482,$A15,Results!$A$2:$A$482,AE$4)=0,"",IF(COUNTIFS(Results!$F$2:$F$482,$A15,Results!$A$2:$A$482,AE$4,Results!$G$2:$G$482,"&gt;0")&gt;0,_xlfn.MINIFS(Results!$G$2:$G$482,Results!$F$2:$F$482,$A15,Results!$A$2:$A$482,AE$4,Results!$G$2:$G$482,"&gt;0"),IF(COUNTIFS(Results!$F$2:$F$482,$A15,Results!$A$2:$A$482,AE$4,Results!$H$2:$H$482,"DNF")&gt;0,"DNF","•")))</f>
        <v/>
      </c>
      <c r="AF15" s="20" t="n">
        <f aca="false">IF(COUNTIFS(Results!$F$2:$F$482,$A15,Results!$A$2:$A$482,AF$4)=0,"",IF(COUNTIFS(Results!$F$2:$F$482,$A15,Results!$A$2:$A$482,AF$4,Results!$G$2:$G$482,"&gt;0")&gt;0,_xlfn.MINIFS(Results!$G$2:$G$482,Results!$F$2:$F$482,$A15,Results!$A$2:$A$482,AF$4,Results!$G$2:$G$482,"&gt;0"),IF(COUNTIFS(Results!$F$2:$F$482,$A15,Results!$A$2:$A$482,AF$4,Results!$H$2:$H$482,"DNF")&gt;0,"DNF","•")))</f>
        <v>39</v>
      </c>
      <c r="AG15" s="20" t="str">
        <f aca="false">IF(COUNTIFS(Results!$F$2:$F$482,$A15,Results!$A$2:$A$482,AG$4)=0,"",IF(COUNTIFS(Results!$F$2:$F$482,$A15,Results!$A$2:$A$482,AG$4,Results!$G$2:$G$482,"&gt;0")&gt;0,_xlfn.MINIFS(Results!$G$2:$G$482,Results!$F$2:$F$482,$A15,Results!$A$2:$A$482,AG$4,Results!$G$2:$G$482,"&gt;0"),IF(COUNTIFS(Results!$F$2:$F$482,$A15,Results!$A$2:$A$482,AG$4,Results!$H$2:$H$482,"DNF")&gt;0,"DNF","•")))</f>
        <v/>
      </c>
      <c r="AH15" s="20" t="str">
        <f aca="false">IF(COUNTIFS(Results!$F$2:$F$482,$A15,Results!$A$2:$A$482,AH$4)=0,"",IF(COUNTIFS(Results!$F$2:$F$482,$A15,Results!$A$2:$A$482,AH$4,Results!$G$2:$G$482,"&gt;0")&gt;0,_xlfn.MINIFS(Results!$G$2:$G$482,Results!$F$2:$F$482,$A15,Results!$A$2:$A$482,AH$4,Results!$G$2:$G$482,"&gt;0"),IF(COUNTIFS(Results!$F$2:$F$482,$A15,Results!$A$2:$A$482,AH$4,Results!$H$2:$H$482,"DNF")&gt;0,"DNF","•")))</f>
        <v/>
      </c>
      <c r="AI15" s="20" t="str">
        <f aca="false">IF(COUNTIFS(Results!$F$2:$F$482,$A15,Results!$A$2:$A$482,AI$4)=0,"",IF(COUNTIFS(Results!$F$2:$F$482,$A15,Results!$A$2:$A$482,AI$4,Results!$G$2:$G$482,"&gt;0")&gt;0,_xlfn.MINIFS(Results!$G$2:$G$482,Results!$F$2:$F$482,$A15,Results!$A$2:$A$482,AI$4,Results!$G$2:$G$482,"&gt;0"),IF(COUNTIFS(Results!$F$2:$F$482,$A15,Results!$A$2:$A$482,AI$4,Results!$H$2:$H$482,"DNF")&gt;0,"DNF","•")))</f>
        <v/>
      </c>
      <c r="AJ15" s="20" t="n">
        <f aca="false">IF(COUNTIFS(Results!$F$2:$F$482,$A15,Results!$A$2:$A$482,AJ$4)=0,"",IF(COUNTIFS(Results!$F$2:$F$482,$A15,Results!$A$2:$A$482,AJ$4,Results!$G$2:$G$482,"&gt;0")&gt;0,_xlfn.MINIFS(Results!$G$2:$G$482,Results!$F$2:$F$482,$A15,Results!$A$2:$A$482,AJ$4,Results!$G$2:$G$482,"&gt;0"),IF(COUNTIFS(Results!$F$2:$F$482,$A15,Results!$A$2:$A$482,AJ$4,Results!$H$2:$H$482,"DNF")&gt;0,"DNF","•")))</f>
        <v>3</v>
      </c>
      <c r="AK15" s="20" t="str">
        <f aca="false">IF(COUNTIFS(Results!$F$2:$F$482,$A15,Results!$A$2:$A$482,AK$4)=0,"",IF(COUNTIFS(Results!$F$2:$F$482,$A15,Results!$A$2:$A$482,AK$4,Results!$G$2:$G$482,"&gt;0")&gt;0,_xlfn.MINIFS(Results!$G$2:$G$482,Results!$F$2:$F$482,$A15,Results!$A$2:$A$482,AK$4,Results!$G$2:$G$482,"&gt;0"),IF(COUNTIFS(Results!$F$2:$F$482,$A15,Results!$A$2:$A$482,AK$4,Results!$H$2:$H$482,"DNF")&gt;0,"DNF","•")))</f>
        <v/>
      </c>
      <c r="AL15" s="20" t="str">
        <f aca="false">IF(COUNTIFS(Results!$F$2:$F$482,$A15,Results!$A$2:$A$482,AL$4)=0,"",IF(COUNTIFS(Results!$F$2:$F$482,$A15,Results!$A$2:$A$482,AL$4,Results!$G$2:$G$482,"&gt;0")&gt;0,_xlfn.MINIFS(Results!$G$2:$G$482,Results!$F$2:$F$482,$A15,Results!$A$2:$A$482,AL$4,Results!$G$2:$G$482,"&gt;0"),IF(COUNTIFS(Results!$F$2:$F$482,$A15,Results!$A$2:$A$482,AL$4,Results!$H$2:$H$482,"DNF")&gt;0,"DNF","•")))</f>
        <v/>
      </c>
      <c r="AM15" s="20" t="str">
        <f aca="false">IF(COUNTIFS(Results!$F$2:$F$482,$A15,Results!$A$2:$A$482,AM$4)=0,"",IF(COUNTIFS(Results!$F$2:$F$482,$A15,Results!$A$2:$A$482,AM$4,Results!$G$2:$G$482,"&gt;0")&gt;0,_xlfn.MINIFS(Results!$G$2:$G$482,Results!$F$2:$F$482,$A15,Results!$A$2:$A$482,AM$4,Results!$G$2:$G$482,"&gt;0"),IF(COUNTIFS(Results!$F$2:$F$482,$A15,Results!$A$2:$A$482,AM$4,Results!$H$2:$H$482,"DNF")&gt;0,"DNF","•")))</f>
        <v/>
      </c>
      <c r="AN15" s="20" t="n">
        <f aca="false">IF(COUNTIFS(Results!$F$2:$F$482,$A15,Results!$A$2:$A$482,AN$4)=0,"",IF(COUNTIFS(Results!$F$2:$F$482,$A15,Results!$A$2:$A$482,AN$4,Results!$G$2:$G$482,"&gt;0")&gt;0,_xlfn.MINIFS(Results!$G$2:$G$482,Results!$F$2:$F$482,$A15,Results!$A$2:$A$482,AN$4,Results!$G$2:$G$482,"&gt;0"),IF(COUNTIFS(Results!$F$2:$F$482,$A15,Results!$A$2:$A$482,AN$4,Results!$H$2:$H$482,"DNF")&gt;0,"DNF","•")))</f>
        <v>24</v>
      </c>
      <c r="AO15" s="20" t="str">
        <f aca="false">IF(COUNTIFS(Results!$F$2:$F$482,$A15,Results!$A$2:$A$482,AO$4)=0,"",IF(COUNTIFS(Results!$F$2:$F$482,$A15,Results!$A$2:$A$482,AO$4,Results!$G$2:$G$482,"&gt;0")&gt;0,_xlfn.MINIFS(Results!$G$2:$G$482,Results!$F$2:$F$482,$A15,Results!$A$2:$A$482,AO$4,Results!$G$2:$G$482,"&gt;0"),IF(COUNTIFS(Results!$F$2:$F$482,$A15,Results!$A$2:$A$482,AO$4,Results!$H$2:$H$482,"DNF")&gt;0,"DNF","•")))</f>
        <v/>
      </c>
      <c r="AP15" s="20" t="str">
        <f aca="false">IF(COUNTIFS(Results!$F$2:$F$482,$A15,Results!$A$2:$A$482,AP$4)=0,"",IF(COUNTIFS(Results!$F$2:$F$482,$A15,Results!$A$2:$A$482,AP$4,Results!$G$2:$G$482,"&gt;0")&gt;0,_xlfn.MINIFS(Results!$G$2:$G$482,Results!$F$2:$F$482,$A15,Results!$A$2:$A$482,AP$4,Results!$G$2:$G$482,"&gt;0"),IF(COUNTIFS(Results!$F$2:$F$482,$A15,Results!$A$2:$A$482,AP$4,Results!$H$2:$H$482,"DNF")&gt;0,"DNF","•")))</f>
        <v/>
      </c>
      <c r="AQ15" s="20" t="n">
        <f aca="false">IF(COUNTIFS(Results!$F$2:$F$482,$A15,Results!$A$2:$A$482,AQ$4)=0,"",IF(COUNTIFS(Results!$F$2:$F$482,$A15,Results!$A$2:$A$482,AQ$4,Results!$G$2:$G$482,"&gt;0")&gt;0,_xlfn.MINIFS(Results!$G$2:$G$482,Results!$F$2:$F$482,$A15,Results!$A$2:$A$482,AQ$4,Results!$G$2:$G$482,"&gt;0"),IF(COUNTIFS(Results!$F$2:$F$482,$A15,Results!$A$2:$A$482,AQ$4,Results!$H$2:$H$482,"DNF")&gt;0,"DNF","•")))</f>
        <v>17</v>
      </c>
      <c r="AR15" s="20" t="str">
        <f aca="false">IF(COUNTIFS(Results!$F$2:$F$482,$A15,Results!$A$2:$A$482,AR$4)=0,"",IF(COUNTIFS(Results!$F$2:$F$482,$A15,Results!$A$2:$A$482,AR$4,Results!$G$2:$G$482,"&gt;0")&gt;0,_xlfn.MINIFS(Results!$G$2:$G$482,Results!$F$2:$F$482,$A15,Results!$A$2:$A$482,AR$4,Results!$G$2:$G$482,"&gt;0"),IF(COUNTIFS(Results!$F$2:$F$482,$A15,Results!$A$2:$A$482,AR$4,Results!$H$2:$H$482,"DNF")&gt;0,"DNF","•")))</f>
        <v/>
      </c>
      <c r="AS15" s="20" t="str">
        <f aca="false">IF(COUNTIFS(Results!$F$2:$F$482,$A15,Results!$A$2:$A$482,AS$4)=0,"",IF(COUNTIFS(Results!$F$2:$F$482,$A15,Results!$A$2:$A$482,AS$4,Results!$G$2:$G$482,"&gt;0")&gt;0,_xlfn.MINIFS(Results!$G$2:$G$482,Results!$F$2:$F$482,$A15,Results!$A$2:$A$482,AS$4,Results!$G$2:$G$482,"&gt;0"),IF(COUNTIFS(Results!$F$2:$F$482,$A15,Results!$A$2:$A$482,AS$4,Results!$H$2:$H$482,"DNF")&gt;0,"DNF","•")))</f>
        <v/>
      </c>
      <c r="AT15" s="20" t="str">
        <f aca="false">IF(COUNTIFS(Results!$F$2:$F$482,$A15,Results!$A$2:$A$482,AT$4)=0,"",IF(COUNTIFS(Results!$F$2:$F$482,$A15,Results!$A$2:$A$482,AT$4,Results!$G$2:$G$482,"&gt;0")&gt;0,_xlfn.MINIFS(Results!$G$2:$G$482,Results!$F$2:$F$482,$A15,Results!$A$2:$A$482,AT$4,Results!$G$2:$G$482,"&gt;0"),IF(COUNTIFS(Results!$F$2:$F$482,$A15,Results!$A$2:$A$482,AT$4,Results!$H$2:$H$482,"DNF")&gt;0,"DNF","•")))</f>
        <v/>
      </c>
      <c r="AU15" s="20" t="n">
        <f aca="false">IF(COUNTIFS(Results!$F$2:$F$482,$A15,Results!$A$2:$A$482,AU$4)=0,"",IF(COUNTIFS(Results!$F$2:$F$482,$A15,Results!$A$2:$A$482,AU$4,Results!$G$2:$G$482,"&gt;0")&gt;0,_xlfn.MINIFS(Results!$G$2:$G$482,Results!$F$2:$F$482,$A15,Results!$A$2:$A$482,AU$4,Results!$G$2:$G$482,"&gt;0"),IF(COUNTIFS(Results!$F$2:$F$482,$A15,Results!$A$2:$A$482,AU$4,Results!$H$2:$H$482,"DNF")&gt;0,"DNF","•")))</f>
        <v>2</v>
      </c>
      <c r="AV15" s="20" t="str">
        <f aca="false">IF(COUNTIFS(Results!$F$2:$F$482,$A15,Results!$A$2:$A$482,AV$4)=0,"",IF(COUNTIFS(Results!$F$2:$F$482,$A15,Results!$A$2:$A$482,AV$4,Results!$G$2:$G$482,"&gt;0")&gt;0,_xlfn.MINIFS(Results!$G$2:$G$482,Results!$F$2:$F$482,$A15,Results!$A$2:$A$482,AV$4,Results!$G$2:$G$482,"&gt;0"),IF(COUNTIFS(Results!$F$2:$F$482,$A15,Results!$A$2:$A$482,AV$4,Results!$H$2:$H$482,"DNF")&gt;0,"DNF","•")))</f>
        <v/>
      </c>
      <c r="AW15" s="20" t="str">
        <f aca="false">IF(COUNTIFS(Results!$F$2:$F$482,$A15,Results!$A$2:$A$482,AW$4)=0,"",IF(COUNTIFS(Results!$F$2:$F$482,$A15,Results!$A$2:$A$482,AW$4,Results!$G$2:$G$482,"&gt;0")&gt;0,_xlfn.MINIFS(Results!$G$2:$G$482,Results!$F$2:$F$482,$A15,Results!$A$2:$A$482,AW$4,Results!$G$2:$G$482,"&gt;0"),IF(COUNTIFS(Results!$F$2:$F$482,$A15,Results!$A$2:$A$482,AW$4,Results!$H$2:$H$482,"DNF")&gt;0,"DNF","•")))</f>
        <v/>
      </c>
      <c r="AX15" s="20" t="str">
        <f aca="false">IF(COUNTIFS(Results!$F$2:$F$482,$A15,Results!$A$2:$A$482,AX$4)=0,"",IF(COUNTIFS(Results!$F$2:$F$482,$A15,Results!$A$2:$A$482,AX$4,Results!$G$2:$G$482,"&gt;0")&gt;0,_xlfn.MINIFS(Results!$G$2:$G$482,Results!$F$2:$F$482,$A15,Results!$A$2:$A$482,AX$4,Results!$G$2:$G$482,"&gt;0"),IF(COUNTIFS(Results!$F$2:$F$482,$A15,Results!$A$2:$A$482,AX$4,Results!$H$2:$H$482,"DNF")&gt;0,"DNF","•")))</f>
        <v/>
      </c>
      <c r="AY15" s="20" t="str">
        <f aca="false">IF(COUNTIFS(Results!$F$2:$F$482,$A15,Results!$A$2:$A$482,AY$4)=0,"",IF(COUNTIFS(Results!$F$2:$F$482,$A15,Results!$A$2:$A$482,AY$4,Results!$G$2:$G$482,"&gt;0")&gt;0,_xlfn.MINIFS(Results!$G$2:$G$482,Results!$F$2:$F$482,$A15,Results!$A$2:$A$482,AY$4,Results!$G$2:$G$482,"&gt;0"),IF(COUNTIFS(Results!$F$2:$F$482,$A15,Results!$A$2:$A$482,AY$4,Results!$H$2:$H$482,"DNF")&gt;0,"DNF","•")))</f>
        <v/>
      </c>
      <c r="AZ15" s="20" t="str">
        <f aca="false">IF(COUNTIFS(Results!$F$2:$F$482,$A15,Results!$A$2:$A$482,AZ$4)=0,"",IF(COUNTIFS(Results!$F$2:$F$482,$A15,Results!$A$2:$A$482,AZ$4,Results!$G$2:$G$482,"&gt;0")&gt;0,_xlfn.MINIFS(Results!$G$2:$G$482,Results!$F$2:$F$482,$A15,Results!$A$2:$A$482,AZ$4,Results!$G$2:$G$482,"&gt;0"),IF(COUNTIFS(Results!$F$2:$F$482,$A15,Results!$A$2:$A$482,AZ$4,Results!$H$2:$H$482,"DNF")&gt;0,"DNF","•")))</f>
        <v/>
      </c>
      <c r="BA15" s="20" t="str">
        <f aca="false">IF(COUNTIFS(Results!$F$2:$F$482,$A15,Results!$A$2:$A$482,BA$4)=0,"",IF(COUNTIFS(Results!$F$2:$F$482,$A15,Results!$A$2:$A$482,BA$4,Results!$G$2:$G$482,"&gt;0")&gt;0,_xlfn.MINIFS(Results!$G$2:$G$482,Results!$F$2:$F$482,$A15,Results!$A$2:$A$482,BA$4,Results!$G$2:$G$482,"&gt;0"),IF(COUNTIFS(Results!$F$2:$F$482,$A15,Results!$A$2:$A$482,BA$4,Results!$H$2:$H$482,"DNF")&gt;0,"DNF","•")))</f>
        <v/>
      </c>
      <c r="BB15" s="20" t="str">
        <f aca="false">IF(COUNTIFS(Results!$F$2:$F$482,$A15,Results!$A$2:$A$482,BB$4)=0,"",IF(COUNTIFS(Results!$F$2:$F$482,$A15,Results!$A$2:$A$482,BB$4,Results!$G$2:$G$482,"&gt;0")&gt;0,_xlfn.MINIFS(Results!$G$2:$G$482,Results!$F$2:$F$482,$A15,Results!$A$2:$A$482,BB$4,Results!$G$2:$G$482,"&gt;0"),IF(COUNTIFS(Results!$F$2:$F$482,$A15,Results!$A$2:$A$482,BB$4,Results!$H$2:$H$482,"DNF")&gt;0,"DNF","•")))</f>
        <v/>
      </c>
      <c r="BC15" s="20" t="n">
        <f aca="false">IF(COUNTIFS(Results!$F$2:$F$482,$A15,Results!$A$2:$A$482,BC$4)=0,"",IF(COUNTIFS(Results!$F$2:$F$482,$A15,Results!$A$2:$A$482,BC$4,Results!$G$2:$G$482,"&gt;0")&gt;0,_xlfn.MINIFS(Results!$G$2:$G$482,Results!$F$2:$F$482,$A15,Results!$A$2:$A$482,BC$4,Results!$G$2:$G$482,"&gt;0"),IF(COUNTIFS(Results!$F$2:$F$482,$A15,Results!$A$2:$A$482,BC$4,Results!$H$2:$H$482,"DNF")&gt;0,"DNF","•")))</f>
        <v>2</v>
      </c>
      <c r="BD15" s="20" t="n">
        <f aca="false">IF(COUNTIFS(Results!$F$2:$F$482,$A15,Results!$A$2:$A$482,BD$4)=0,"",IF(COUNTIFS(Results!$F$2:$F$482,$A15,Results!$A$2:$A$482,BD$4,Results!$G$2:$G$482,"&gt;0")&gt;0,_xlfn.MINIFS(Results!$G$2:$G$482,Results!$F$2:$F$482,$A15,Results!$A$2:$A$482,BD$4,Results!$G$2:$G$482,"&gt;0"),IF(COUNTIFS(Results!$F$2:$F$482,$A15,Results!$A$2:$A$482,BD$4,Results!$H$2:$H$482,"DNF")&gt;0,"DNF","•")))</f>
        <v>1</v>
      </c>
      <c r="BE15" s="20" t="n">
        <f aca="false">IF(COUNTIFS(Results!$F$2:$F$482,$A15,Results!$A$2:$A$482,BE$4)=0,"",IF(COUNTIFS(Results!$F$2:$F$482,$A15,Results!$A$2:$A$482,BE$4,Results!$G$2:$G$482,"&gt;0")&gt;0,_xlfn.MINIFS(Results!$G$2:$G$482,Results!$F$2:$F$482,$A15,Results!$A$2:$A$482,BE$4,Results!$G$2:$G$482,"&gt;0"),IF(COUNTIFS(Results!$F$2:$F$482,$A15,Results!$A$2:$A$482,BE$4,Results!$H$2:$H$482,"DNF")&gt;0,"DNF","•")))</f>
        <v>1</v>
      </c>
      <c r="BF15" s="20" t="str">
        <f aca="false">IF(COUNTIFS(Results!$F$2:$F$482,$A15,Results!$A$2:$A$482,BF$4)=0,"",IF(COUNTIFS(Results!$F$2:$F$482,$A15,Results!$A$2:$A$482,BF$4,Results!$G$2:$G$482,"&gt;0")&gt;0,_xlfn.MINIFS(Results!$G$2:$G$482,Results!$F$2:$F$482,$A15,Results!$A$2:$A$482,BF$4,Results!$G$2:$G$482,"&gt;0"),IF(COUNTIFS(Results!$F$2:$F$482,$A15,Results!$A$2:$A$482,BF$4,Results!$H$2:$H$482,"DNF")&gt;0,"DNF","•")))</f>
        <v/>
      </c>
      <c r="BG15" s="20" t="str">
        <f aca="false">IF(COUNTIFS(Results!$F$2:$F$482,$A15,Results!$A$2:$A$482,BG$4)=0,"",IF(COUNTIFS(Results!$F$2:$F$482,$A15,Results!$A$2:$A$482,BG$4,Results!$G$2:$G$482,"&gt;0")&gt;0,_xlfn.MINIFS(Results!$G$2:$G$482,Results!$F$2:$F$482,$A15,Results!$A$2:$A$482,BG$4,Results!$G$2:$G$482,"&gt;0"),IF(COUNTIFS(Results!$F$2:$F$482,$A15,Results!$A$2:$A$482,BG$4,Results!$H$2:$H$482,"DNF")&gt;0,"DNF","•")))</f>
        <v/>
      </c>
      <c r="BH15" s="20" t="str">
        <f aca="false">IF(COUNTIFS(Results!$F$2:$F$482,$A15,Results!$A$2:$A$482,BH$4)=0,"",IF(COUNTIFS(Results!$F$2:$F$482,$A15,Results!$A$2:$A$482,BH$4,Results!$G$2:$G$482,"&gt;0")&gt;0,_xlfn.MINIFS(Results!$G$2:$G$482,Results!$F$2:$F$482,$A15,Results!$A$2:$A$482,BH$4,Results!$G$2:$G$482,"&gt;0"),IF(COUNTIFS(Results!$F$2:$F$482,$A15,Results!$A$2:$A$482,BH$4,Results!$H$2:$H$482,"DNF")&gt;0,"DNF","•")))</f>
        <v/>
      </c>
      <c r="BI15" s="20" t="str">
        <f aca="false">IF(COUNTIFS(Results!$F$2:$F$482,$A15,Results!$A$2:$A$482,BI$4)=0,"",IF(COUNTIFS(Results!$F$2:$F$482,$A15,Results!$A$2:$A$482,BI$4,Results!$G$2:$G$482,"&gt;0")&gt;0,_xlfn.MINIFS(Results!$G$2:$G$482,Results!$F$2:$F$482,$A15,Results!$A$2:$A$482,BI$4,Results!$G$2:$G$482,"&gt;0"),IF(COUNTIFS(Results!$F$2:$F$482,$A15,Results!$A$2:$A$482,BI$4,Results!$H$2:$H$482,"DNF")&gt;0,"DNF","•")))</f>
        <v/>
      </c>
      <c r="BJ15" s="20" t="str">
        <f aca="false">IF(COUNTIFS(Results!$F$2:$F$482,$A15,Results!$A$2:$A$482,BJ$4)=0,"",IF(COUNTIFS(Results!$F$2:$F$482,$A15,Results!$A$2:$A$482,BJ$4,Results!$G$2:$G$482,"&gt;0")&gt;0,_xlfn.MINIFS(Results!$G$2:$G$482,Results!$F$2:$F$482,$A15,Results!$A$2:$A$482,BJ$4,Results!$G$2:$G$482,"&gt;0"),IF(COUNTIFS(Results!$F$2:$F$482,$A15,Results!$A$2:$A$482,BJ$4,Results!$H$2:$H$482,"DNF")&gt;0,"DNF","•")))</f>
        <v/>
      </c>
      <c r="BK15" s="20" t="str">
        <f aca="false">IF(COUNTIFS(Results!$F$2:$F$482,$A15,Results!$A$2:$A$482,BK$4)=0,"",IF(COUNTIFS(Results!$F$2:$F$482,$A15,Results!$A$2:$A$482,BK$4,Results!$G$2:$G$482,"&gt;0")&gt;0,_xlfn.MINIFS(Results!$G$2:$G$482,Results!$F$2:$F$482,$A15,Results!$A$2:$A$482,BK$4,Results!$G$2:$G$482,"&gt;0"),IF(COUNTIFS(Results!$F$2:$F$482,$A15,Results!$A$2:$A$482,BK$4,Results!$H$2:$H$482,"DNF")&gt;0,"DNF","•")))</f>
        <v/>
      </c>
      <c r="BL15" s="20" t="str">
        <f aca="false">IF(COUNTIFS(Results!$F$2:$F$482,$A15,Results!$A$2:$A$482,BL$4)=0,"",IF(COUNTIFS(Results!$F$2:$F$482,$A15,Results!$A$2:$A$482,BL$4,Results!$G$2:$G$482,"&gt;0")&gt;0,_xlfn.MINIFS(Results!$G$2:$G$482,Results!$F$2:$F$482,$A15,Results!$A$2:$A$482,BL$4,Results!$G$2:$G$482,"&gt;0"),IF(COUNTIFS(Results!$F$2:$F$482,$A15,Results!$A$2:$A$482,BL$4,Results!$H$2:$H$482,"DNF")&gt;0,"DNF","•")))</f>
        <v/>
      </c>
    </row>
    <row r="16" customFormat="false" ht="15" hidden="false" customHeight="false" outlineLevel="0" collapsed="false">
      <c r="A16" s="7" t="str">
        <f aca="false">Riders!A14</f>
        <v>Anna Gaborska</v>
      </c>
      <c r="B16" s="20" t="str">
        <f aca="false">IF(COUNTIFS(Results!$F$2:$F$482,$A16,Results!$A$2:$A$482,B$4)=0,"",IF(COUNTIFS(Results!$F$2:$F$482,$A16,Results!$A$2:$A$482,B$4,Results!$G$2:$G$482,"&gt;0")&gt;0,_xlfn.MINIFS(Results!$G$2:$G$482,Results!$F$2:$F$482,$A16,Results!$A$2:$A$482,B$4,Results!$G$2:$G$482,"&gt;0"),IF(COUNTIFS(Results!$F$2:$F$482,$A16,Results!$A$2:$A$482,B$4,Results!$H$2:$H$482,"DNF")&gt;0,"DNF","•")))</f>
        <v/>
      </c>
      <c r="C16" s="20" t="str">
        <f aca="false">IF(COUNTIFS(Results!$F$2:$F$482,$A16,Results!$A$2:$A$482,C$4)=0,"",IF(COUNTIFS(Results!$F$2:$F$482,$A16,Results!$A$2:$A$482,C$4,Results!$G$2:$G$482,"&gt;0")&gt;0,_xlfn.MINIFS(Results!$G$2:$G$482,Results!$F$2:$F$482,$A16,Results!$A$2:$A$482,C$4,Results!$G$2:$G$482,"&gt;0"),IF(COUNTIFS(Results!$F$2:$F$482,$A16,Results!$A$2:$A$482,C$4,Results!$H$2:$H$482,"DNF")&gt;0,"DNF","•")))</f>
        <v/>
      </c>
      <c r="D16" s="20" t="str">
        <f aca="false">IF(COUNTIFS(Results!$F$2:$F$482,$A16,Results!$A$2:$A$482,D$4)=0,"",IF(COUNTIFS(Results!$F$2:$F$482,$A16,Results!$A$2:$A$482,D$4,Results!$G$2:$G$482,"&gt;0")&gt;0,_xlfn.MINIFS(Results!$G$2:$G$482,Results!$F$2:$F$482,$A16,Results!$A$2:$A$482,D$4,Results!$G$2:$G$482,"&gt;0"),IF(COUNTIFS(Results!$F$2:$F$482,$A16,Results!$A$2:$A$482,D$4,Results!$H$2:$H$482,"DNF")&gt;0,"DNF","•")))</f>
        <v/>
      </c>
      <c r="E16" s="20" t="str">
        <f aca="false">IF(COUNTIFS(Results!$F$2:$F$482,$A16,Results!$A$2:$A$482,E$4)=0,"",IF(COUNTIFS(Results!$F$2:$F$482,$A16,Results!$A$2:$A$482,E$4,Results!$G$2:$G$482,"&gt;0")&gt;0,_xlfn.MINIFS(Results!$G$2:$G$482,Results!$F$2:$F$482,$A16,Results!$A$2:$A$482,E$4,Results!$G$2:$G$482,"&gt;0"),IF(COUNTIFS(Results!$F$2:$F$482,$A16,Results!$A$2:$A$482,E$4,Results!$H$2:$H$482,"DNF")&gt;0,"DNF","•")))</f>
        <v/>
      </c>
      <c r="F16" s="20" t="str">
        <f aca="false">IF(COUNTIFS(Results!$F$2:$F$482,$A16,Results!$A$2:$A$482,F$4)=0,"",IF(COUNTIFS(Results!$F$2:$F$482,$A16,Results!$A$2:$A$482,F$4,Results!$G$2:$G$482,"&gt;0")&gt;0,_xlfn.MINIFS(Results!$G$2:$G$482,Results!$F$2:$F$482,$A16,Results!$A$2:$A$482,F$4,Results!$G$2:$G$482,"&gt;0"),IF(COUNTIFS(Results!$F$2:$F$482,$A16,Results!$A$2:$A$482,F$4,Results!$H$2:$H$482,"DNF")&gt;0,"DNF","•")))</f>
        <v/>
      </c>
      <c r="G16" s="20" t="str">
        <f aca="false">IF(COUNTIFS(Results!$F$2:$F$482,$A16,Results!$A$2:$A$482,G$4)=0,"",IF(COUNTIFS(Results!$F$2:$F$482,$A16,Results!$A$2:$A$482,G$4,Results!$G$2:$G$482,"&gt;0")&gt;0,_xlfn.MINIFS(Results!$G$2:$G$482,Results!$F$2:$F$482,$A16,Results!$A$2:$A$482,G$4,Results!$G$2:$G$482,"&gt;0"),IF(COUNTIFS(Results!$F$2:$F$482,$A16,Results!$A$2:$A$482,G$4,Results!$H$2:$H$482,"DNF")&gt;0,"DNF","•")))</f>
        <v/>
      </c>
      <c r="H16" s="20" t="str">
        <f aca="false">IF(COUNTIFS(Results!$F$2:$F$482,$A16,Results!$A$2:$A$482,H$4)=0,"",IF(COUNTIFS(Results!$F$2:$F$482,$A16,Results!$A$2:$A$482,H$4,Results!$G$2:$G$482,"&gt;0")&gt;0,_xlfn.MINIFS(Results!$G$2:$G$482,Results!$F$2:$F$482,$A16,Results!$A$2:$A$482,H$4,Results!$G$2:$G$482,"&gt;0"),IF(COUNTIFS(Results!$F$2:$F$482,$A16,Results!$A$2:$A$482,H$4,Results!$H$2:$H$482,"DNF")&gt;0,"DNF","•")))</f>
        <v/>
      </c>
      <c r="I16" s="20" t="n">
        <f aca="false">IF(COUNTIFS(Results!$F$2:$F$482,$A16,Results!$A$2:$A$482,I$4)=0,"",IF(COUNTIFS(Results!$F$2:$F$482,$A16,Results!$A$2:$A$482,I$4,Results!$G$2:$G$482,"&gt;0")&gt;0,_xlfn.MINIFS(Results!$G$2:$G$482,Results!$F$2:$F$482,$A16,Results!$A$2:$A$482,I$4,Results!$G$2:$G$482,"&gt;0"),IF(COUNTIFS(Results!$F$2:$F$482,$A16,Results!$A$2:$A$482,I$4,Results!$H$2:$H$482,"DNF")&gt;0,"DNF","•")))</f>
        <v>44</v>
      </c>
      <c r="J16" s="20" t="str">
        <f aca="false">IF(COUNTIFS(Results!$F$2:$F$482,$A16,Results!$A$2:$A$482,J$4)=0,"",IF(COUNTIFS(Results!$F$2:$F$482,$A16,Results!$A$2:$A$482,J$4,Results!$G$2:$G$482,"&gt;0")&gt;0,_xlfn.MINIFS(Results!$G$2:$G$482,Results!$F$2:$F$482,$A16,Results!$A$2:$A$482,J$4,Results!$G$2:$G$482,"&gt;0"),IF(COUNTIFS(Results!$F$2:$F$482,$A16,Results!$A$2:$A$482,J$4,Results!$H$2:$H$482,"DNF")&gt;0,"DNF","•")))</f>
        <v/>
      </c>
      <c r="K16" s="20" t="n">
        <f aca="false">IF(COUNTIFS(Results!$F$2:$F$482,$A16,Results!$A$2:$A$482,K$4)=0,"",IF(COUNTIFS(Results!$F$2:$F$482,$A16,Results!$A$2:$A$482,K$4,Results!$G$2:$G$482,"&gt;0")&gt;0,_xlfn.MINIFS(Results!$G$2:$G$482,Results!$F$2:$F$482,$A16,Results!$A$2:$A$482,K$4,Results!$G$2:$G$482,"&gt;0"),IF(COUNTIFS(Results!$F$2:$F$482,$A16,Results!$A$2:$A$482,K$4,Results!$H$2:$H$482,"DNF")&gt;0,"DNF","•")))</f>
        <v>65</v>
      </c>
      <c r="L16" s="20" t="str">
        <f aca="false">IF(COUNTIFS(Results!$F$2:$F$482,$A16,Results!$A$2:$A$482,L$4)=0,"",IF(COUNTIFS(Results!$F$2:$F$482,$A16,Results!$A$2:$A$482,L$4,Results!$G$2:$G$482,"&gt;0")&gt;0,_xlfn.MINIFS(Results!$G$2:$G$482,Results!$F$2:$F$482,$A16,Results!$A$2:$A$482,L$4,Results!$G$2:$G$482,"&gt;0"),IF(COUNTIFS(Results!$F$2:$F$482,$A16,Results!$A$2:$A$482,L$4,Results!$H$2:$H$482,"DNF")&gt;0,"DNF","•")))</f>
        <v/>
      </c>
      <c r="M16" s="20" t="str">
        <f aca="false">IF(COUNTIFS(Results!$F$2:$F$482,$A16,Results!$A$2:$A$482,M$4)=0,"",IF(COUNTIFS(Results!$F$2:$F$482,$A16,Results!$A$2:$A$482,M$4,Results!$G$2:$G$482,"&gt;0")&gt;0,_xlfn.MINIFS(Results!$G$2:$G$482,Results!$F$2:$F$482,$A16,Results!$A$2:$A$482,M$4,Results!$G$2:$G$482,"&gt;0"),IF(COUNTIFS(Results!$F$2:$F$482,$A16,Results!$A$2:$A$482,M$4,Results!$H$2:$H$482,"DNF")&gt;0,"DNF","•")))</f>
        <v/>
      </c>
      <c r="N16" s="20" t="str">
        <f aca="false">IF(COUNTIFS(Results!$F$2:$F$482,$A16,Results!$A$2:$A$482,N$4)=0,"",IF(COUNTIFS(Results!$F$2:$F$482,$A16,Results!$A$2:$A$482,N$4,Results!$G$2:$G$482,"&gt;0")&gt;0,_xlfn.MINIFS(Results!$G$2:$G$482,Results!$F$2:$F$482,$A16,Results!$A$2:$A$482,N$4,Results!$G$2:$G$482,"&gt;0"),IF(COUNTIFS(Results!$F$2:$F$482,$A16,Results!$A$2:$A$482,N$4,Results!$H$2:$H$482,"DNF")&gt;0,"DNF","•")))</f>
        <v/>
      </c>
      <c r="O16" s="20" t="str">
        <f aca="false">IF(COUNTIFS(Results!$F$2:$F$482,$A16,Results!$A$2:$A$482,O$4)=0,"",IF(COUNTIFS(Results!$F$2:$F$482,$A16,Results!$A$2:$A$482,O$4,Results!$G$2:$G$482,"&gt;0")&gt;0,_xlfn.MINIFS(Results!$G$2:$G$482,Results!$F$2:$F$482,$A16,Results!$A$2:$A$482,O$4,Results!$G$2:$G$482,"&gt;0"),IF(COUNTIFS(Results!$F$2:$F$482,$A16,Results!$A$2:$A$482,O$4,Results!$H$2:$H$482,"DNF")&gt;0,"DNF","•")))</f>
        <v>DNF</v>
      </c>
      <c r="P16" s="20" t="str">
        <f aca="false">IF(COUNTIFS(Results!$F$2:$F$482,$A16,Results!$A$2:$A$482,P$4)=0,"",IF(COUNTIFS(Results!$F$2:$F$482,$A16,Results!$A$2:$A$482,P$4,Results!$G$2:$G$482,"&gt;0")&gt;0,_xlfn.MINIFS(Results!$G$2:$G$482,Results!$F$2:$F$482,$A16,Results!$A$2:$A$482,P$4,Results!$G$2:$G$482,"&gt;0"),IF(COUNTIFS(Results!$F$2:$F$482,$A16,Results!$A$2:$A$482,P$4,Results!$H$2:$H$482,"DNF")&gt;0,"DNF","•")))</f>
        <v/>
      </c>
      <c r="Q16" s="20" t="str">
        <f aca="false">IF(COUNTIFS(Results!$F$2:$F$482,$A16,Results!$A$2:$A$482,Q$4)=0,"",IF(COUNTIFS(Results!$F$2:$F$482,$A16,Results!$A$2:$A$482,Q$4,Results!$G$2:$G$482,"&gt;0")&gt;0,_xlfn.MINIFS(Results!$G$2:$G$482,Results!$F$2:$F$482,$A16,Results!$A$2:$A$482,Q$4,Results!$G$2:$G$482,"&gt;0"),IF(COUNTIFS(Results!$F$2:$F$482,$A16,Results!$A$2:$A$482,Q$4,Results!$H$2:$H$482,"DNF")&gt;0,"DNF","•")))</f>
        <v/>
      </c>
      <c r="R16" s="20" t="str">
        <f aca="false">IF(COUNTIFS(Results!$F$2:$F$482,$A16,Results!$A$2:$A$482,R$4)=0,"",IF(COUNTIFS(Results!$F$2:$F$482,$A16,Results!$A$2:$A$482,R$4,Results!$G$2:$G$482,"&gt;0")&gt;0,_xlfn.MINIFS(Results!$G$2:$G$482,Results!$F$2:$F$482,$A16,Results!$A$2:$A$482,R$4,Results!$G$2:$G$482,"&gt;0"),IF(COUNTIFS(Results!$F$2:$F$482,$A16,Results!$A$2:$A$482,R$4,Results!$H$2:$H$482,"DNF")&gt;0,"DNF","•")))</f>
        <v/>
      </c>
      <c r="S16" s="20" t="str">
        <f aca="false">IF(COUNTIFS(Results!$F$2:$F$482,$A16,Results!$A$2:$A$482,S$4)=0,"",IF(COUNTIFS(Results!$F$2:$F$482,$A16,Results!$A$2:$A$482,S$4,Results!$G$2:$G$482,"&gt;0")&gt;0,_xlfn.MINIFS(Results!$G$2:$G$482,Results!$F$2:$F$482,$A16,Results!$A$2:$A$482,S$4,Results!$G$2:$G$482,"&gt;0"),IF(COUNTIFS(Results!$F$2:$F$482,$A16,Results!$A$2:$A$482,S$4,Results!$H$2:$H$482,"DNF")&gt;0,"DNF","•")))</f>
        <v/>
      </c>
      <c r="T16" s="20" t="str">
        <f aca="false">IF(COUNTIFS(Results!$F$2:$F$482,$A16,Results!$A$2:$A$482,T$4)=0,"",IF(COUNTIFS(Results!$F$2:$F$482,$A16,Results!$A$2:$A$482,T$4,Results!$G$2:$G$482,"&gt;0")&gt;0,_xlfn.MINIFS(Results!$G$2:$G$482,Results!$F$2:$F$482,$A16,Results!$A$2:$A$482,T$4,Results!$G$2:$G$482,"&gt;0"),IF(COUNTIFS(Results!$F$2:$F$482,$A16,Results!$A$2:$A$482,T$4,Results!$H$2:$H$482,"DNF")&gt;0,"DNF","•")))</f>
        <v/>
      </c>
      <c r="U16" s="20" t="str">
        <f aca="false">IF(COUNTIFS(Results!$F$2:$F$482,$A16,Results!$A$2:$A$482,U$4)=0,"",IF(COUNTIFS(Results!$F$2:$F$482,$A16,Results!$A$2:$A$482,U$4,Results!$G$2:$G$482,"&gt;0")&gt;0,_xlfn.MINIFS(Results!$G$2:$G$482,Results!$F$2:$F$482,$A16,Results!$A$2:$A$482,U$4,Results!$G$2:$G$482,"&gt;0"),IF(COUNTIFS(Results!$F$2:$F$482,$A16,Results!$A$2:$A$482,U$4,Results!$H$2:$H$482,"DNF")&gt;0,"DNF","•")))</f>
        <v/>
      </c>
      <c r="V16" s="20" t="str">
        <f aca="false">IF(COUNTIFS(Results!$F$2:$F$482,$A16,Results!$A$2:$A$482,V$4)=0,"",IF(COUNTIFS(Results!$F$2:$F$482,$A16,Results!$A$2:$A$482,V$4,Results!$G$2:$G$482,"&gt;0")&gt;0,_xlfn.MINIFS(Results!$G$2:$G$482,Results!$F$2:$F$482,$A16,Results!$A$2:$A$482,V$4,Results!$G$2:$G$482,"&gt;0"),IF(COUNTIFS(Results!$F$2:$F$482,$A16,Results!$A$2:$A$482,V$4,Results!$H$2:$H$482,"DNF")&gt;0,"DNF","•")))</f>
        <v/>
      </c>
      <c r="W16" s="20" t="str">
        <f aca="false">IF(COUNTIFS(Results!$F$2:$F$482,$A16,Results!$A$2:$A$482,W$4)=0,"",IF(COUNTIFS(Results!$F$2:$F$482,$A16,Results!$A$2:$A$482,W$4,Results!$G$2:$G$482,"&gt;0")&gt;0,_xlfn.MINIFS(Results!$G$2:$G$482,Results!$F$2:$F$482,$A16,Results!$A$2:$A$482,W$4,Results!$G$2:$G$482,"&gt;0"),IF(COUNTIFS(Results!$F$2:$F$482,$A16,Results!$A$2:$A$482,W$4,Results!$H$2:$H$482,"DNF")&gt;0,"DNF","•")))</f>
        <v/>
      </c>
      <c r="X16" s="20" t="str">
        <f aca="false">IF(COUNTIFS(Results!$F$2:$F$482,$A16,Results!$A$2:$A$482,X$4)=0,"",IF(COUNTIFS(Results!$F$2:$F$482,$A16,Results!$A$2:$A$482,X$4,Results!$G$2:$G$482,"&gt;0")&gt;0,_xlfn.MINIFS(Results!$G$2:$G$482,Results!$F$2:$F$482,$A16,Results!$A$2:$A$482,X$4,Results!$G$2:$G$482,"&gt;0"),IF(COUNTIFS(Results!$F$2:$F$482,$A16,Results!$A$2:$A$482,X$4,Results!$H$2:$H$482,"DNF")&gt;0,"DNF","•")))</f>
        <v/>
      </c>
      <c r="Y16" s="20" t="str">
        <f aca="false">IF(COUNTIFS(Results!$F$2:$F$482,$A16,Results!$A$2:$A$482,Y$4)=0,"",IF(COUNTIFS(Results!$F$2:$F$482,$A16,Results!$A$2:$A$482,Y$4,Results!$G$2:$G$482,"&gt;0")&gt;0,_xlfn.MINIFS(Results!$G$2:$G$482,Results!$F$2:$F$482,$A16,Results!$A$2:$A$482,Y$4,Results!$G$2:$G$482,"&gt;0"),IF(COUNTIFS(Results!$F$2:$F$482,$A16,Results!$A$2:$A$482,Y$4,Results!$H$2:$H$482,"DNF")&gt;0,"DNF","•")))</f>
        <v>DNF</v>
      </c>
      <c r="Z16" s="20" t="n">
        <f aca="false">IF(COUNTIFS(Results!$F$2:$F$482,$A16,Results!$A$2:$A$482,Z$4)=0,"",IF(COUNTIFS(Results!$F$2:$F$482,$A16,Results!$A$2:$A$482,Z$4,Results!$G$2:$G$482,"&gt;0")&gt;0,_xlfn.MINIFS(Results!$G$2:$G$482,Results!$F$2:$F$482,$A16,Results!$A$2:$A$482,Z$4,Results!$G$2:$G$482,"&gt;0"),IF(COUNTIFS(Results!$F$2:$F$482,$A16,Results!$A$2:$A$482,Z$4,Results!$H$2:$H$482,"DNF")&gt;0,"DNF","•")))</f>
        <v>7</v>
      </c>
      <c r="AA16" s="20" t="str">
        <f aca="false">IF(COUNTIFS(Results!$F$2:$F$482,$A16,Results!$A$2:$A$482,AA$4)=0,"",IF(COUNTIFS(Results!$F$2:$F$482,$A16,Results!$A$2:$A$482,AA$4,Results!$G$2:$G$482,"&gt;0")&gt;0,_xlfn.MINIFS(Results!$G$2:$G$482,Results!$F$2:$F$482,$A16,Results!$A$2:$A$482,AA$4,Results!$G$2:$G$482,"&gt;0"),IF(COUNTIFS(Results!$F$2:$F$482,$A16,Results!$A$2:$A$482,AA$4,Results!$H$2:$H$482,"DNF")&gt;0,"DNF","•")))</f>
        <v/>
      </c>
      <c r="AB16" s="20" t="str">
        <f aca="false">IF(COUNTIFS(Results!$F$2:$F$482,$A16,Results!$A$2:$A$482,AB$4)=0,"",IF(COUNTIFS(Results!$F$2:$F$482,$A16,Results!$A$2:$A$482,AB$4,Results!$G$2:$G$482,"&gt;0")&gt;0,_xlfn.MINIFS(Results!$G$2:$G$482,Results!$F$2:$F$482,$A16,Results!$A$2:$A$482,AB$4,Results!$G$2:$G$482,"&gt;0"),IF(COUNTIFS(Results!$F$2:$F$482,$A16,Results!$A$2:$A$482,AB$4,Results!$H$2:$H$482,"DNF")&gt;0,"DNF","•")))</f>
        <v/>
      </c>
      <c r="AC16" s="20" t="n">
        <f aca="false">IF(COUNTIFS(Results!$F$2:$F$482,$A16,Results!$A$2:$A$482,AC$4)=0,"",IF(COUNTIFS(Results!$F$2:$F$482,$A16,Results!$A$2:$A$482,AC$4,Results!$G$2:$G$482,"&gt;0")&gt;0,_xlfn.MINIFS(Results!$G$2:$G$482,Results!$F$2:$F$482,$A16,Results!$A$2:$A$482,AC$4,Results!$G$2:$G$482,"&gt;0"),IF(COUNTIFS(Results!$F$2:$F$482,$A16,Results!$A$2:$A$482,AC$4,Results!$H$2:$H$482,"DNF")&gt;0,"DNF","•")))</f>
        <v>3</v>
      </c>
      <c r="AD16" s="20" t="str">
        <f aca="false">IF(COUNTIFS(Results!$F$2:$F$482,$A16,Results!$A$2:$A$482,AD$4)=0,"",IF(COUNTIFS(Results!$F$2:$F$482,$A16,Results!$A$2:$A$482,AD$4,Results!$G$2:$G$482,"&gt;0")&gt;0,_xlfn.MINIFS(Results!$G$2:$G$482,Results!$F$2:$F$482,$A16,Results!$A$2:$A$482,AD$4,Results!$G$2:$G$482,"&gt;0"),IF(COUNTIFS(Results!$F$2:$F$482,$A16,Results!$A$2:$A$482,AD$4,Results!$H$2:$H$482,"DNF")&gt;0,"DNF","•")))</f>
        <v/>
      </c>
      <c r="AE16" s="20" t="n">
        <f aca="false">IF(COUNTIFS(Results!$F$2:$F$482,$A16,Results!$A$2:$A$482,AE$4)=0,"",IF(COUNTIFS(Results!$F$2:$F$482,$A16,Results!$A$2:$A$482,AE$4,Results!$G$2:$G$482,"&gt;0")&gt;0,_xlfn.MINIFS(Results!$G$2:$G$482,Results!$F$2:$F$482,$A16,Results!$A$2:$A$482,AE$4,Results!$G$2:$G$482,"&gt;0"),IF(COUNTIFS(Results!$F$2:$F$482,$A16,Results!$A$2:$A$482,AE$4,Results!$H$2:$H$482,"DNF")&gt;0,"DNF","•")))</f>
        <v>13</v>
      </c>
      <c r="AF16" s="20" t="str">
        <f aca="false">IF(COUNTIFS(Results!$F$2:$F$482,$A16,Results!$A$2:$A$482,AF$4)=0,"",IF(COUNTIFS(Results!$F$2:$F$482,$A16,Results!$A$2:$A$482,AF$4,Results!$G$2:$G$482,"&gt;0")&gt;0,_xlfn.MINIFS(Results!$G$2:$G$482,Results!$F$2:$F$482,$A16,Results!$A$2:$A$482,AF$4,Results!$G$2:$G$482,"&gt;0"),IF(COUNTIFS(Results!$F$2:$F$482,$A16,Results!$A$2:$A$482,AF$4,Results!$H$2:$H$482,"DNF")&gt;0,"DNF","•")))</f>
        <v/>
      </c>
      <c r="AG16" s="20" t="str">
        <f aca="false">IF(COUNTIFS(Results!$F$2:$F$482,$A16,Results!$A$2:$A$482,AG$4)=0,"",IF(COUNTIFS(Results!$F$2:$F$482,$A16,Results!$A$2:$A$482,AG$4,Results!$G$2:$G$482,"&gt;0")&gt;0,_xlfn.MINIFS(Results!$G$2:$G$482,Results!$F$2:$F$482,$A16,Results!$A$2:$A$482,AG$4,Results!$G$2:$G$482,"&gt;0"),IF(COUNTIFS(Results!$F$2:$F$482,$A16,Results!$A$2:$A$482,AG$4,Results!$H$2:$H$482,"DNF")&gt;0,"DNF","•")))</f>
        <v/>
      </c>
      <c r="AH16" s="20" t="str">
        <f aca="false">IF(COUNTIFS(Results!$F$2:$F$482,$A16,Results!$A$2:$A$482,AH$4)=0,"",IF(COUNTIFS(Results!$F$2:$F$482,$A16,Results!$A$2:$A$482,AH$4,Results!$G$2:$G$482,"&gt;0")&gt;0,_xlfn.MINIFS(Results!$G$2:$G$482,Results!$F$2:$F$482,$A16,Results!$A$2:$A$482,AH$4,Results!$G$2:$G$482,"&gt;0"),IF(COUNTIFS(Results!$F$2:$F$482,$A16,Results!$A$2:$A$482,AH$4,Results!$H$2:$H$482,"DNF")&gt;0,"DNF","•")))</f>
        <v/>
      </c>
      <c r="AI16" s="20" t="n">
        <f aca="false">IF(COUNTIFS(Results!$F$2:$F$482,$A16,Results!$A$2:$A$482,AI$4)=0,"",IF(COUNTIFS(Results!$F$2:$F$482,$A16,Results!$A$2:$A$482,AI$4,Results!$G$2:$G$482,"&gt;0")&gt;0,_xlfn.MINIFS(Results!$G$2:$G$482,Results!$F$2:$F$482,$A16,Results!$A$2:$A$482,AI$4,Results!$G$2:$G$482,"&gt;0"),IF(COUNTIFS(Results!$F$2:$F$482,$A16,Results!$A$2:$A$482,AI$4,Results!$H$2:$H$482,"DNF")&gt;0,"DNF","•")))</f>
        <v>43</v>
      </c>
      <c r="AJ16" s="20" t="n">
        <f aca="false">IF(COUNTIFS(Results!$F$2:$F$482,$A16,Results!$A$2:$A$482,AJ$4)=0,"",IF(COUNTIFS(Results!$F$2:$F$482,$A16,Results!$A$2:$A$482,AJ$4,Results!$G$2:$G$482,"&gt;0")&gt;0,_xlfn.MINIFS(Results!$G$2:$G$482,Results!$F$2:$F$482,$A16,Results!$A$2:$A$482,AJ$4,Results!$G$2:$G$482,"&gt;0"),IF(COUNTIFS(Results!$F$2:$F$482,$A16,Results!$A$2:$A$482,AJ$4,Results!$H$2:$H$482,"DNF")&gt;0,"DNF","•")))</f>
        <v>5</v>
      </c>
      <c r="AK16" s="20" t="str">
        <f aca="false">IF(COUNTIFS(Results!$F$2:$F$482,$A16,Results!$A$2:$A$482,AK$4)=0,"",IF(COUNTIFS(Results!$F$2:$F$482,$A16,Results!$A$2:$A$482,AK$4,Results!$G$2:$G$482,"&gt;0")&gt;0,_xlfn.MINIFS(Results!$G$2:$G$482,Results!$F$2:$F$482,$A16,Results!$A$2:$A$482,AK$4,Results!$G$2:$G$482,"&gt;0"),IF(COUNTIFS(Results!$F$2:$F$482,$A16,Results!$A$2:$A$482,AK$4,Results!$H$2:$H$482,"DNF")&gt;0,"DNF","•")))</f>
        <v/>
      </c>
      <c r="AL16" s="20" t="str">
        <f aca="false">IF(COUNTIFS(Results!$F$2:$F$482,$A16,Results!$A$2:$A$482,AL$4)=0,"",IF(COUNTIFS(Results!$F$2:$F$482,$A16,Results!$A$2:$A$482,AL$4,Results!$G$2:$G$482,"&gt;0")&gt;0,_xlfn.MINIFS(Results!$G$2:$G$482,Results!$F$2:$F$482,$A16,Results!$A$2:$A$482,AL$4,Results!$G$2:$G$482,"&gt;0"),IF(COUNTIFS(Results!$F$2:$F$482,$A16,Results!$A$2:$A$482,AL$4,Results!$H$2:$H$482,"DNF")&gt;0,"DNF","•")))</f>
        <v/>
      </c>
      <c r="AM16" s="20" t="str">
        <f aca="false">IF(COUNTIFS(Results!$F$2:$F$482,$A16,Results!$A$2:$A$482,AM$4)=0,"",IF(COUNTIFS(Results!$F$2:$F$482,$A16,Results!$A$2:$A$482,AM$4,Results!$G$2:$G$482,"&gt;0")&gt;0,_xlfn.MINIFS(Results!$G$2:$G$482,Results!$F$2:$F$482,$A16,Results!$A$2:$A$482,AM$4,Results!$G$2:$G$482,"&gt;0"),IF(COUNTIFS(Results!$F$2:$F$482,$A16,Results!$A$2:$A$482,AM$4,Results!$H$2:$H$482,"DNF")&gt;0,"DNF","•")))</f>
        <v/>
      </c>
      <c r="AN16" s="20" t="n">
        <f aca="false">IF(COUNTIFS(Results!$F$2:$F$482,$A16,Results!$A$2:$A$482,AN$4)=0,"",IF(COUNTIFS(Results!$F$2:$F$482,$A16,Results!$A$2:$A$482,AN$4,Results!$G$2:$G$482,"&gt;0")&gt;0,_xlfn.MINIFS(Results!$G$2:$G$482,Results!$F$2:$F$482,$A16,Results!$A$2:$A$482,AN$4,Results!$G$2:$G$482,"&gt;0"),IF(COUNTIFS(Results!$F$2:$F$482,$A16,Results!$A$2:$A$482,AN$4,Results!$H$2:$H$482,"DNF")&gt;0,"DNF","•")))</f>
        <v>7</v>
      </c>
      <c r="AO16" s="20" t="str">
        <f aca="false">IF(COUNTIFS(Results!$F$2:$F$482,$A16,Results!$A$2:$A$482,AO$4)=0,"",IF(COUNTIFS(Results!$F$2:$F$482,$A16,Results!$A$2:$A$482,AO$4,Results!$G$2:$G$482,"&gt;0")&gt;0,_xlfn.MINIFS(Results!$G$2:$G$482,Results!$F$2:$F$482,$A16,Results!$A$2:$A$482,AO$4,Results!$G$2:$G$482,"&gt;0"),IF(COUNTIFS(Results!$F$2:$F$482,$A16,Results!$A$2:$A$482,AO$4,Results!$H$2:$H$482,"DNF")&gt;0,"DNF","•")))</f>
        <v/>
      </c>
      <c r="AP16" s="20" t="n">
        <f aca="false">IF(COUNTIFS(Results!$F$2:$F$482,$A16,Results!$A$2:$A$482,AP$4)=0,"",IF(COUNTIFS(Results!$F$2:$F$482,$A16,Results!$A$2:$A$482,AP$4,Results!$G$2:$G$482,"&gt;0")&gt;0,_xlfn.MINIFS(Results!$G$2:$G$482,Results!$F$2:$F$482,$A16,Results!$A$2:$A$482,AP$4,Results!$G$2:$G$482,"&gt;0"),IF(COUNTIFS(Results!$F$2:$F$482,$A16,Results!$A$2:$A$482,AP$4,Results!$H$2:$H$482,"DNF")&gt;0,"DNF","•")))</f>
        <v>10</v>
      </c>
      <c r="AQ16" s="20" t="str">
        <f aca="false">IF(COUNTIFS(Results!$F$2:$F$482,$A16,Results!$A$2:$A$482,AQ$4)=0,"",IF(COUNTIFS(Results!$F$2:$F$482,$A16,Results!$A$2:$A$482,AQ$4,Results!$G$2:$G$482,"&gt;0")&gt;0,_xlfn.MINIFS(Results!$G$2:$G$482,Results!$F$2:$F$482,$A16,Results!$A$2:$A$482,AQ$4,Results!$G$2:$G$482,"&gt;0"),IF(COUNTIFS(Results!$F$2:$F$482,$A16,Results!$A$2:$A$482,AQ$4,Results!$H$2:$H$482,"DNF")&gt;0,"DNF","•")))</f>
        <v/>
      </c>
      <c r="AR16" s="20" t="str">
        <f aca="false">IF(COUNTIFS(Results!$F$2:$F$482,$A16,Results!$A$2:$A$482,AR$4)=0,"",IF(COUNTIFS(Results!$F$2:$F$482,$A16,Results!$A$2:$A$482,AR$4,Results!$G$2:$G$482,"&gt;0")&gt;0,_xlfn.MINIFS(Results!$G$2:$G$482,Results!$F$2:$F$482,$A16,Results!$A$2:$A$482,AR$4,Results!$G$2:$G$482,"&gt;0"),IF(COUNTIFS(Results!$F$2:$F$482,$A16,Results!$A$2:$A$482,AR$4,Results!$H$2:$H$482,"DNF")&gt;0,"DNF","•")))</f>
        <v/>
      </c>
      <c r="AS16" s="20" t="n">
        <f aca="false">IF(COUNTIFS(Results!$F$2:$F$482,$A16,Results!$A$2:$A$482,AS$4)=0,"",IF(COUNTIFS(Results!$F$2:$F$482,$A16,Results!$A$2:$A$482,AS$4,Results!$G$2:$G$482,"&gt;0")&gt;0,_xlfn.MINIFS(Results!$G$2:$G$482,Results!$F$2:$F$482,$A16,Results!$A$2:$A$482,AS$4,Results!$G$2:$G$482,"&gt;0"),IF(COUNTIFS(Results!$F$2:$F$482,$A16,Results!$A$2:$A$482,AS$4,Results!$H$2:$H$482,"DNF")&gt;0,"DNF","•")))</f>
        <v>2</v>
      </c>
      <c r="AT16" s="20" t="str">
        <f aca="false">IF(COUNTIFS(Results!$F$2:$F$482,$A16,Results!$A$2:$A$482,AT$4)=0,"",IF(COUNTIFS(Results!$F$2:$F$482,$A16,Results!$A$2:$A$482,AT$4,Results!$G$2:$G$482,"&gt;0")&gt;0,_xlfn.MINIFS(Results!$G$2:$G$482,Results!$F$2:$F$482,$A16,Results!$A$2:$A$482,AT$4,Results!$G$2:$G$482,"&gt;0"),IF(COUNTIFS(Results!$F$2:$F$482,$A16,Results!$A$2:$A$482,AT$4,Results!$H$2:$H$482,"DNF")&gt;0,"DNF","•")))</f>
        <v/>
      </c>
      <c r="AU16" s="20" t="str">
        <f aca="false">IF(COUNTIFS(Results!$F$2:$F$482,$A16,Results!$A$2:$A$482,AU$4)=0,"",IF(COUNTIFS(Results!$F$2:$F$482,$A16,Results!$A$2:$A$482,AU$4,Results!$G$2:$G$482,"&gt;0")&gt;0,_xlfn.MINIFS(Results!$G$2:$G$482,Results!$F$2:$F$482,$A16,Results!$A$2:$A$482,AU$4,Results!$G$2:$G$482,"&gt;0"),IF(COUNTIFS(Results!$F$2:$F$482,$A16,Results!$A$2:$A$482,AU$4,Results!$H$2:$H$482,"DNF")&gt;0,"DNF","•")))</f>
        <v/>
      </c>
      <c r="AV16" s="20" t="str">
        <f aca="false">IF(COUNTIFS(Results!$F$2:$F$482,$A16,Results!$A$2:$A$482,AV$4)=0,"",IF(COUNTIFS(Results!$F$2:$F$482,$A16,Results!$A$2:$A$482,AV$4,Results!$G$2:$G$482,"&gt;0")&gt;0,_xlfn.MINIFS(Results!$G$2:$G$482,Results!$F$2:$F$482,$A16,Results!$A$2:$A$482,AV$4,Results!$G$2:$G$482,"&gt;0"),IF(COUNTIFS(Results!$F$2:$F$482,$A16,Results!$A$2:$A$482,AV$4,Results!$H$2:$H$482,"DNF")&gt;0,"DNF","•")))</f>
        <v/>
      </c>
      <c r="AW16" s="20" t="str">
        <f aca="false">IF(COUNTIFS(Results!$F$2:$F$482,$A16,Results!$A$2:$A$482,AW$4)=0,"",IF(COUNTIFS(Results!$F$2:$F$482,$A16,Results!$A$2:$A$482,AW$4,Results!$G$2:$G$482,"&gt;0")&gt;0,_xlfn.MINIFS(Results!$G$2:$G$482,Results!$F$2:$F$482,$A16,Results!$A$2:$A$482,AW$4,Results!$G$2:$G$482,"&gt;0"),IF(COUNTIFS(Results!$F$2:$F$482,$A16,Results!$A$2:$A$482,AW$4,Results!$H$2:$H$482,"DNF")&gt;0,"DNF","•")))</f>
        <v/>
      </c>
      <c r="AX16" s="20" t="str">
        <f aca="false">IF(COUNTIFS(Results!$F$2:$F$482,$A16,Results!$A$2:$A$482,AX$4)=0,"",IF(COUNTIFS(Results!$F$2:$F$482,$A16,Results!$A$2:$A$482,AX$4,Results!$G$2:$G$482,"&gt;0")&gt;0,_xlfn.MINIFS(Results!$G$2:$G$482,Results!$F$2:$F$482,$A16,Results!$A$2:$A$482,AX$4,Results!$G$2:$G$482,"&gt;0"),IF(COUNTIFS(Results!$F$2:$F$482,$A16,Results!$A$2:$A$482,AX$4,Results!$H$2:$H$482,"DNF")&gt;0,"DNF","•")))</f>
        <v/>
      </c>
      <c r="AY16" s="20" t="str">
        <f aca="false">IF(COUNTIFS(Results!$F$2:$F$482,$A16,Results!$A$2:$A$482,AY$4)=0,"",IF(COUNTIFS(Results!$F$2:$F$482,$A16,Results!$A$2:$A$482,AY$4,Results!$G$2:$G$482,"&gt;0")&gt;0,_xlfn.MINIFS(Results!$G$2:$G$482,Results!$F$2:$F$482,$A16,Results!$A$2:$A$482,AY$4,Results!$G$2:$G$482,"&gt;0"),IF(COUNTIFS(Results!$F$2:$F$482,$A16,Results!$A$2:$A$482,AY$4,Results!$H$2:$H$482,"DNF")&gt;0,"DNF","•")))</f>
        <v/>
      </c>
      <c r="AZ16" s="20" t="str">
        <f aca="false">IF(COUNTIFS(Results!$F$2:$F$482,$A16,Results!$A$2:$A$482,AZ$4)=0,"",IF(COUNTIFS(Results!$F$2:$F$482,$A16,Results!$A$2:$A$482,AZ$4,Results!$G$2:$G$482,"&gt;0")&gt;0,_xlfn.MINIFS(Results!$G$2:$G$482,Results!$F$2:$F$482,$A16,Results!$A$2:$A$482,AZ$4,Results!$G$2:$G$482,"&gt;0"),IF(COUNTIFS(Results!$F$2:$F$482,$A16,Results!$A$2:$A$482,AZ$4,Results!$H$2:$H$482,"DNF")&gt;0,"DNF","•")))</f>
        <v/>
      </c>
      <c r="BA16" s="20" t="str">
        <f aca="false">IF(COUNTIFS(Results!$F$2:$F$482,$A16,Results!$A$2:$A$482,BA$4)=0,"",IF(COUNTIFS(Results!$F$2:$F$482,$A16,Results!$A$2:$A$482,BA$4,Results!$G$2:$G$482,"&gt;0")&gt;0,_xlfn.MINIFS(Results!$G$2:$G$482,Results!$F$2:$F$482,$A16,Results!$A$2:$A$482,BA$4,Results!$G$2:$G$482,"&gt;0"),IF(COUNTIFS(Results!$F$2:$F$482,$A16,Results!$A$2:$A$482,BA$4,Results!$H$2:$H$482,"DNF")&gt;0,"DNF","•")))</f>
        <v/>
      </c>
      <c r="BB16" s="20" t="str">
        <f aca="false">IF(COUNTIFS(Results!$F$2:$F$482,$A16,Results!$A$2:$A$482,BB$4)=0,"",IF(COUNTIFS(Results!$F$2:$F$482,$A16,Results!$A$2:$A$482,BB$4,Results!$G$2:$G$482,"&gt;0")&gt;0,_xlfn.MINIFS(Results!$G$2:$G$482,Results!$F$2:$F$482,$A16,Results!$A$2:$A$482,BB$4,Results!$G$2:$G$482,"&gt;0"),IF(COUNTIFS(Results!$F$2:$F$482,$A16,Results!$A$2:$A$482,BB$4,Results!$H$2:$H$482,"DNF")&gt;0,"DNF","•")))</f>
        <v/>
      </c>
      <c r="BC16" s="20" t="str">
        <f aca="false">IF(COUNTIFS(Results!$F$2:$F$482,$A16,Results!$A$2:$A$482,BC$4)=0,"",IF(COUNTIFS(Results!$F$2:$F$482,$A16,Results!$A$2:$A$482,BC$4,Results!$G$2:$G$482,"&gt;0")&gt;0,_xlfn.MINIFS(Results!$G$2:$G$482,Results!$F$2:$F$482,$A16,Results!$A$2:$A$482,BC$4,Results!$G$2:$G$482,"&gt;0"),IF(COUNTIFS(Results!$F$2:$F$482,$A16,Results!$A$2:$A$482,BC$4,Results!$H$2:$H$482,"DNF")&gt;0,"DNF","•")))</f>
        <v/>
      </c>
      <c r="BD16" s="20" t="str">
        <f aca="false">IF(COUNTIFS(Results!$F$2:$F$482,$A16,Results!$A$2:$A$482,BD$4)=0,"",IF(COUNTIFS(Results!$F$2:$F$482,$A16,Results!$A$2:$A$482,BD$4,Results!$G$2:$G$482,"&gt;0")&gt;0,_xlfn.MINIFS(Results!$G$2:$G$482,Results!$F$2:$F$482,$A16,Results!$A$2:$A$482,BD$4,Results!$G$2:$G$482,"&gt;0"),IF(COUNTIFS(Results!$F$2:$F$482,$A16,Results!$A$2:$A$482,BD$4,Results!$H$2:$H$482,"DNF")&gt;0,"DNF","•")))</f>
        <v/>
      </c>
      <c r="BE16" s="20" t="n">
        <f aca="false">IF(COUNTIFS(Results!$F$2:$F$482,$A16,Results!$A$2:$A$482,BE$4)=0,"",IF(COUNTIFS(Results!$F$2:$F$482,$A16,Results!$A$2:$A$482,BE$4,Results!$G$2:$G$482,"&gt;0")&gt;0,_xlfn.MINIFS(Results!$G$2:$G$482,Results!$F$2:$F$482,$A16,Results!$A$2:$A$482,BE$4,Results!$G$2:$G$482,"&gt;0"),IF(COUNTIFS(Results!$F$2:$F$482,$A16,Results!$A$2:$A$482,BE$4,Results!$H$2:$H$482,"DNF")&gt;0,"DNF","•")))</f>
        <v>1</v>
      </c>
      <c r="BF16" s="20" t="str">
        <f aca="false">IF(COUNTIFS(Results!$F$2:$F$482,$A16,Results!$A$2:$A$482,BF$4)=0,"",IF(COUNTIFS(Results!$F$2:$F$482,$A16,Results!$A$2:$A$482,BF$4,Results!$G$2:$G$482,"&gt;0")&gt;0,_xlfn.MINIFS(Results!$G$2:$G$482,Results!$F$2:$F$482,$A16,Results!$A$2:$A$482,BF$4,Results!$G$2:$G$482,"&gt;0"),IF(COUNTIFS(Results!$F$2:$F$482,$A16,Results!$A$2:$A$482,BF$4,Results!$H$2:$H$482,"DNF")&gt;0,"DNF","•")))</f>
        <v/>
      </c>
      <c r="BG16" s="20" t="str">
        <f aca="false">IF(COUNTIFS(Results!$F$2:$F$482,$A16,Results!$A$2:$A$482,BG$4)=0,"",IF(COUNTIFS(Results!$F$2:$F$482,$A16,Results!$A$2:$A$482,BG$4,Results!$G$2:$G$482,"&gt;0")&gt;0,_xlfn.MINIFS(Results!$G$2:$G$482,Results!$F$2:$F$482,$A16,Results!$A$2:$A$482,BG$4,Results!$G$2:$G$482,"&gt;0"),IF(COUNTIFS(Results!$F$2:$F$482,$A16,Results!$A$2:$A$482,BG$4,Results!$H$2:$H$482,"DNF")&gt;0,"DNF","•")))</f>
        <v/>
      </c>
      <c r="BH16" s="20" t="str">
        <f aca="false">IF(COUNTIFS(Results!$F$2:$F$482,$A16,Results!$A$2:$A$482,BH$4)=0,"",IF(COUNTIFS(Results!$F$2:$F$482,$A16,Results!$A$2:$A$482,BH$4,Results!$G$2:$G$482,"&gt;0")&gt;0,_xlfn.MINIFS(Results!$G$2:$G$482,Results!$F$2:$F$482,$A16,Results!$A$2:$A$482,BH$4,Results!$G$2:$G$482,"&gt;0"),IF(COUNTIFS(Results!$F$2:$F$482,$A16,Results!$A$2:$A$482,BH$4,Results!$H$2:$H$482,"DNF")&gt;0,"DNF","•")))</f>
        <v/>
      </c>
      <c r="BI16" s="20" t="str">
        <f aca="false">IF(COUNTIFS(Results!$F$2:$F$482,$A16,Results!$A$2:$A$482,BI$4)=0,"",IF(COUNTIFS(Results!$F$2:$F$482,$A16,Results!$A$2:$A$482,BI$4,Results!$G$2:$G$482,"&gt;0")&gt;0,_xlfn.MINIFS(Results!$G$2:$G$482,Results!$F$2:$F$482,$A16,Results!$A$2:$A$482,BI$4,Results!$G$2:$G$482,"&gt;0"),IF(COUNTIFS(Results!$F$2:$F$482,$A16,Results!$A$2:$A$482,BI$4,Results!$H$2:$H$482,"DNF")&gt;0,"DNF","•")))</f>
        <v/>
      </c>
      <c r="BJ16" s="20" t="str">
        <f aca="false">IF(COUNTIFS(Results!$F$2:$F$482,$A16,Results!$A$2:$A$482,BJ$4)=0,"",IF(COUNTIFS(Results!$F$2:$F$482,$A16,Results!$A$2:$A$482,BJ$4,Results!$G$2:$G$482,"&gt;0")&gt;0,_xlfn.MINIFS(Results!$G$2:$G$482,Results!$F$2:$F$482,$A16,Results!$A$2:$A$482,BJ$4,Results!$G$2:$G$482,"&gt;0"),IF(COUNTIFS(Results!$F$2:$F$482,$A16,Results!$A$2:$A$482,BJ$4,Results!$H$2:$H$482,"DNF")&gt;0,"DNF","•")))</f>
        <v/>
      </c>
      <c r="BK16" s="20" t="str">
        <f aca="false">IF(COUNTIFS(Results!$F$2:$F$482,$A16,Results!$A$2:$A$482,BK$4)=0,"",IF(COUNTIFS(Results!$F$2:$F$482,$A16,Results!$A$2:$A$482,BK$4,Results!$G$2:$G$482,"&gt;0")&gt;0,_xlfn.MINIFS(Results!$G$2:$G$482,Results!$F$2:$F$482,$A16,Results!$A$2:$A$482,BK$4,Results!$G$2:$G$482,"&gt;0"),IF(COUNTIFS(Results!$F$2:$F$482,$A16,Results!$A$2:$A$482,BK$4,Results!$H$2:$H$482,"DNF")&gt;0,"DNF","•")))</f>
        <v/>
      </c>
      <c r="BL16" s="20" t="str">
        <f aca="false">IF(COUNTIFS(Results!$F$2:$F$482,$A16,Results!$A$2:$A$482,BL$4)=0,"",IF(COUNTIFS(Results!$F$2:$F$482,$A16,Results!$A$2:$A$482,BL$4,Results!$G$2:$G$482,"&gt;0")&gt;0,_xlfn.MINIFS(Results!$G$2:$G$482,Results!$F$2:$F$482,$A16,Results!$A$2:$A$482,BL$4,Results!$G$2:$G$482,"&gt;0"),IF(COUNTIFS(Results!$F$2:$F$482,$A16,Results!$A$2:$A$482,BL$4,Results!$H$2:$H$482,"DNF")&gt;0,"DNF","•")))</f>
        <v/>
      </c>
    </row>
    <row r="17" customFormat="false" ht="15" hidden="false" customHeight="false" outlineLevel="0" collapsed="false">
      <c r="A17" s="7" t="str">
        <f aca="false">Riders!A15</f>
        <v>Gabriela Kaczmarczyk</v>
      </c>
      <c r="B17" s="20" t="str">
        <f aca="false">IF(COUNTIFS(Results!$F$2:$F$482,$A17,Results!$A$2:$A$482,B$4)=0,"",IF(COUNTIFS(Results!$F$2:$F$482,$A17,Results!$A$2:$A$482,B$4,Results!$G$2:$G$482,"&gt;0")&gt;0,_xlfn.MINIFS(Results!$G$2:$G$482,Results!$F$2:$F$482,$A17,Results!$A$2:$A$482,B$4,Results!$G$2:$G$482,"&gt;0"),IF(COUNTIFS(Results!$F$2:$F$482,$A17,Results!$A$2:$A$482,B$4,Results!$H$2:$H$482,"DNF")&gt;0,"DNF","•")))</f>
        <v/>
      </c>
      <c r="C17" s="20" t="n">
        <f aca="false">IF(COUNTIFS(Results!$F$2:$F$482,$A17,Results!$A$2:$A$482,C$4)=0,"",IF(COUNTIFS(Results!$F$2:$F$482,$A17,Results!$A$2:$A$482,C$4,Results!$G$2:$G$482,"&gt;0")&gt;0,_xlfn.MINIFS(Results!$G$2:$G$482,Results!$F$2:$F$482,$A17,Results!$A$2:$A$482,C$4,Results!$G$2:$G$482,"&gt;0"),IF(COUNTIFS(Results!$F$2:$F$482,$A17,Results!$A$2:$A$482,C$4,Results!$H$2:$H$482,"DNF")&gt;0,"DNF","•")))</f>
        <v>7</v>
      </c>
      <c r="D17" s="20" t="str">
        <f aca="false">IF(COUNTIFS(Results!$F$2:$F$482,$A17,Results!$A$2:$A$482,D$4)=0,"",IF(COUNTIFS(Results!$F$2:$F$482,$A17,Results!$A$2:$A$482,D$4,Results!$G$2:$G$482,"&gt;0")&gt;0,_xlfn.MINIFS(Results!$G$2:$G$482,Results!$F$2:$F$482,$A17,Results!$A$2:$A$482,D$4,Results!$G$2:$G$482,"&gt;0"),IF(COUNTIFS(Results!$F$2:$F$482,$A17,Results!$A$2:$A$482,D$4,Results!$H$2:$H$482,"DNF")&gt;0,"DNF","•")))</f>
        <v/>
      </c>
      <c r="E17" s="20" t="n">
        <f aca="false">IF(COUNTIFS(Results!$F$2:$F$482,$A17,Results!$A$2:$A$482,E$4)=0,"",IF(COUNTIFS(Results!$F$2:$F$482,$A17,Results!$A$2:$A$482,E$4,Results!$G$2:$G$482,"&gt;0")&gt;0,_xlfn.MINIFS(Results!$G$2:$G$482,Results!$F$2:$F$482,$A17,Results!$A$2:$A$482,E$4,Results!$G$2:$G$482,"&gt;0"),IF(COUNTIFS(Results!$F$2:$F$482,$A17,Results!$A$2:$A$482,E$4,Results!$H$2:$H$482,"DNF")&gt;0,"DNF","•")))</f>
        <v>1</v>
      </c>
      <c r="F17" s="20" t="str">
        <f aca="false">IF(COUNTIFS(Results!$F$2:$F$482,$A17,Results!$A$2:$A$482,F$4)=0,"",IF(COUNTIFS(Results!$F$2:$F$482,$A17,Results!$A$2:$A$482,F$4,Results!$G$2:$G$482,"&gt;0")&gt;0,_xlfn.MINIFS(Results!$G$2:$G$482,Results!$F$2:$F$482,$A17,Results!$A$2:$A$482,F$4,Results!$G$2:$G$482,"&gt;0"),IF(COUNTIFS(Results!$F$2:$F$482,$A17,Results!$A$2:$A$482,F$4,Results!$H$2:$H$482,"DNF")&gt;0,"DNF","•")))</f>
        <v/>
      </c>
      <c r="G17" s="20" t="str">
        <f aca="false">IF(COUNTIFS(Results!$F$2:$F$482,$A17,Results!$A$2:$A$482,G$4)=0,"",IF(COUNTIFS(Results!$F$2:$F$482,$A17,Results!$A$2:$A$482,G$4,Results!$G$2:$G$482,"&gt;0")&gt;0,_xlfn.MINIFS(Results!$G$2:$G$482,Results!$F$2:$F$482,$A17,Results!$A$2:$A$482,G$4,Results!$G$2:$G$482,"&gt;0"),IF(COUNTIFS(Results!$F$2:$F$482,$A17,Results!$A$2:$A$482,G$4,Results!$H$2:$H$482,"DNF")&gt;0,"DNF","•")))</f>
        <v/>
      </c>
      <c r="H17" s="20" t="str">
        <f aca="false">IF(COUNTIFS(Results!$F$2:$F$482,$A17,Results!$A$2:$A$482,H$4)=0,"",IF(COUNTIFS(Results!$F$2:$F$482,$A17,Results!$A$2:$A$482,H$4,Results!$G$2:$G$482,"&gt;0")&gt;0,_xlfn.MINIFS(Results!$G$2:$G$482,Results!$F$2:$F$482,$A17,Results!$A$2:$A$482,H$4,Results!$G$2:$G$482,"&gt;0"),IF(COUNTIFS(Results!$F$2:$F$482,$A17,Results!$A$2:$A$482,H$4,Results!$H$2:$H$482,"DNF")&gt;0,"DNF","•")))</f>
        <v/>
      </c>
      <c r="I17" s="20" t="str">
        <f aca="false">IF(COUNTIFS(Results!$F$2:$F$482,$A17,Results!$A$2:$A$482,I$4)=0,"",IF(COUNTIFS(Results!$F$2:$F$482,$A17,Results!$A$2:$A$482,I$4,Results!$G$2:$G$482,"&gt;0")&gt;0,_xlfn.MINIFS(Results!$G$2:$G$482,Results!$F$2:$F$482,$A17,Results!$A$2:$A$482,I$4,Results!$G$2:$G$482,"&gt;0"),IF(COUNTIFS(Results!$F$2:$F$482,$A17,Results!$A$2:$A$482,I$4,Results!$H$2:$H$482,"DNF")&gt;0,"DNF","•")))</f>
        <v>DNF</v>
      </c>
      <c r="J17" s="20" t="str">
        <f aca="false">IF(COUNTIFS(Results!$F$2:$F$482,$A17,Results!$A$2:$A$482,J$4)=0,"",IF(COUNTIFS(Results!$F$2:$F$482,$A17,Results!$A$2:$A$482,J$4,Results!$G$2:$G$482,"&gt;0")&gt;0,_xlfn.MINIFS(Results!$G$2:$G$482,Results!$F$2:$F$482,$A17,Results!$A$2:$A$482,J$4,Results!$G$2:$G$482,"&gt;0"),IF(COUNTIFS(Results!$F$2:$F$482,$A17,Results!$A$2:$A$482,J$4,Results!$H$2:$H$482,"DNF")&gt;0,"DNF","•")))</f>
        <v/>
      </c>
      <c r="K17" s="20" t="str">
        <f aca="false">IF(COUNTIFS(Results!$F$2:$F$482,$A17,Results!$A$2:$A$482,K$4)=0,"",IF(COUNTIFS(Results!$F$2:$F$482,$A17,Results!$A$2:$A$482,K$4,Results!$G$2:$G$482,"&gt;0")&gt;0,_xlfn.MINIFS(Results!$G$2:$G$482,Results!$F$2:$F$482,$A17,Results!$A$2:$A$482,K$4,Results!$G$2:$G$482,"&gt;0"),IF(COUNTIFS(Results!$F$2:$F$482,$A17,Results!$A$2:$A$482,K$4,Results!$H$2:$H$482,"DNF")&gt;0,"DNF","•")))</f>
        <v/>
      </c>
      <c r="L17" s="20" t="str">
        <f aca="false">IF(COUNTIFS(Results!$F$2:$F$482,$A17,Results!$A$2:$A$482,L$4)=0,"",IF(COUNTIFS(Results!$F$2:$F$482,$A17,Results!$A$2:$A$482,L$4,Results!$G$2:$G$482,"&gt;0")&gt;0,_xlfn.MINIFS(Results!$G$2:$G$482,Results!$F$2:$F$482,$A17,Results!$A$2:$A$482,L$4,Results!$G$2:$G$482,"&gt;0"),IF(COUNTIFS(Results!$F$2:$F$482,$A17,Results!$A$2:$A$482,L$4,Results!$H$2:$H$482,"DNF")&gt;0,"DNF","•")))</f>
        <v/>
      </c>
      <c r="M17" s="20" t="str">
        <f aca="false">IF(COUNTIFS(Results!$F$2:$F$482,$A17,Results!$A$2:$A$482,M$4)=0,"",IF(COUNTIFS(Results!$F$2:$F$482,$A17,Results!$A$2:$A$482,M$4,Results!$G$2:$G$482,"&gt;0")&gt;0,_xlfn.MINIFS(Results!$G$2:$G$482,Results!$F$2:$F$482,$A17,Results!$A$2:$A$482,M$4,Results!$G$2:$G$482,"&gt;0"),IF(COUNTIFS(Results!$F$2:$F$482,$A17,Results!$A$2:$A$482,M$4,Results!$H$2:$H$482,"DNF")&gt;0,"DNF","•")))</f>
        <v/>
      </c>
      <c r="N17" s="20" t="str">
        <f aca="false">IF(COUNTIFS(Results!$F$2:$F$482,$A17,Results!$A$2:$A$482,N$4)=0,"",IF(COUNTIFS(Results!$F$2:$F$482,$A17,Results!$A$2:$A$482,N$4,Results!$G$2:$G$482,"&gt;0")&gt;0,_xlfn.MINIFS(Results!$G$2:$G$482,Results!$F$2:$F$482,$A17,Results!$A$2:$A$482,N$4,Results!$G$2:$G$482,"&gt;0"),IF(COUNTIFS(Results!$F$2:$F$482,$A17,Results!$A$2:$A$482,N$4,Results!$H$2:$H$482,"DNF")&gt;0,"DNF","•")))</f>
        <v/>
      </c>
      <c r="O17" s="20" t="str">
        <f aca="false">IF(COUNTIFS(Results!$F$2:$F$482,$A17,Results!$A$2:$A$482,O$4)=0,"",IF(COUNTIFS(Results!$F$2:$F$482,$A17,Results!$A$2:$A$482,O$4,Results!$G$2:$G$482,"&gt;0")&gt;0,_xlfn.MINIFS(Results!$G$2:$G$482,Results!$F$2:$F$482,$A17,Results!$A$2:$A$482,O$4,Results!$G$2:$G$482,"&gt;0"),IF(COUNTIFS(Results!$F$2:$F$482,$A17,Results!$A$2:$A$482,O$4,Results!$H$2:$H$482,"DNF")&gt;0,"DNF","•")))</f>
        <v/>
      </c>
      <c r="P17" s="20" t="str">
        <f aca="false">IF(COUNTIFS(Results!$F$2:$F$482,$A17,Results!$A$2:$A$482,P$4)=0,"",IF(COUNTIFS(Results!$F$2:$F$482,$A17,Results!$A$2:$A$482,P$4,Results!$G$2:$G$482,"&gt;0")&gt;0,_xlfn.MINIFS(Results!$G$2:$G$482,Results!$F$2:$F$482,$A17,Results!$A$2:$A$482,P$4,Results!$G$2:$G$482,"&gt;0"),IF(COUNTIFS(Results!$F$2:$F$482,$A17,Results!$A$2:$A$482,P$4,Results!$H$2:$H$482,"DNF")&gt;0,"DNF","•")))</f>
        <v/>
      </c>
      <c r="Q17" s="20" t="str">
        <f aca="false">IF(COUNTIFS(Results!$F$2:$F$482,$A17,Results!$A$2:$A$482,Q$4)=0,"",IF(COUNTIFS(Results!$F$2:$F$482,$A17,Results!$A$2:$A$482,Q$4,Results!$G$2:$G$482,"&gt;0")&gt;0,_xlfn.MINIFS(Results!$G$2:$G$482,Results!$F$2:$F$482,$A17,Results!$A$2:$A$482,Q$4,Results!$G$2:$G$482,"&gt;0"),IF(COUNTIFS(Results!$F$2:$F$482,$A17,Results!$A$2:$A$482,Q$4,Results!$H$2:$H$482,"DNF")&gt;0,"DNF","•")))</f>
        <v/>
      </c>
      <c r="R17" s="20" t="str">
        <f aca="false">IF(COUNTIFS(Results!$F$2:$F$482,$A17,Results!$A$2:$A$482,R$4)=0,"",IF(COUNTIFS(Results!$F$2:$F$482,$A17,Results!$A$2:$A$482,R$4,Results!$G$2:$G$482,"&gt;0")&gt;0,_xlfn.MINIFS(Results!$G$2:$G$482,Results!$F$2:$F$482,$A17,Results!$A$2:$A$482,R$4,Results!$G$2:$G$482,"&gt;0"),IF(COUNTIFS(Results!$F$2:$F$482,$A17,Results!$A$2:$A$482,R$4,Results!$H$2:$H$482,"DNF")&gt;0,"DNF","•")))</f>
        <v/>
      </c>
      <c r="S17" s="20" t="str">
        <f aca="false">IF(COUNTIFS(Results!$F$2:$F$482,$A17,Results!$A$2:$A$482,S$4)=0,"",IF(COUNTIFS(Results!$F$2:$F$482,$A17,Results!$A$2:$A$482,S$4,Results!$G$2:$G$482,"&gt;0")&gt;0,_xlfn.MINIFS(Results!$G$2:$G$482,Results!$F$2:$F$482,$A17,Results!$A$2:$A$482,S$4,Results!$G$2:$G$482,"&gt;0"),IF(COUNTIFS(Results!$F$2:$F$482,$A17,Results!$A$2:$A$482,S$4,Results!$H$2:$H$482,"DNF")&gt;0,"DNF","•")))</f>
        <v/>
      </c>
      <c r="T17" s="20" t="str">
        <f aca="false">IF(COUNTIFS(Results!$F$2:$F$482,$A17,Results!$A$2:$A$482,T$4)=0,"",IF(COUNTIFS(Results!$F$2:$F$482,$A17,Results!$A$2:$A$482,T$4,Results!$G$2:$G$482,"&gt;0")&gt;0,_xlfn.MINIFS(Results!$G$2:$G$482,Results!$F$2:$F$482,$A17,Results!$A$2:$A$482,T$4,Results!$G$2:$G$482,"&gt;0"),IF(COUNTIFS(Results!$F$2:$F$482,$A17,Results!$A$2:$A$482,T$4,Results!$H$2:$H$482,"DNF")&gt;0,"DNF","•")))</f>
        <v/>
      </c>
      <c r="U17" s="20" t="str">
        <f aca="false">IF(COUNTIFS(Results!$F$2:$F$482,$A17,Results!$A$2:$A$482,U$4)=0,"",IF(COUNTIFS(Results!$F$2:$F$482,$A17,Results!$A$2:$A$482,U$4,Results!$G$2:$G$482,"&gt;0")&gt;0,_xlfn.MINIFS(Results!$G$2:$G$482,Results!$F$2:$F$482,$A17,Results!$A$2:$A$482,U$4,Results!$G$2:$G$482,"&gt;0"),IF(COUNTIFS(Results!$F$2:$F$482,$A17,Results!$A$2:$A$482,U$4,Results!$H$2:$H$482,"DNF")&gt;0,"DNF","•")))</f>
        <v/>
      </c>
      <c r="V17" s="20" t="str">
        <f aca="false">IF(COUNTIFS(Results!$F$2:$F$482,$A17,Results!$A$2:$A$482,V$4)=0,"",IF(COUNTIFS(Results!$F$2:$F$482,$A17,Results!$A$2:$A$482,V$4,Results!$G$2:$G$482,"&gt;0")&gt;0,_xlfn.MINIFS(Results!$G$2:$G$482,Results!$F$2:$F$482,$A17,Results!$A$2:$A$482,V$4,Results!$G$2:$G$482,"&gt;0"),IF(COUNTIFS(Results!$F$2:$F$482,$A17,Results!$A$2:$A$482,V$4,Results!$H$2:$H$482,"DNF")&gt;0,"DNF","•")))</f>
        <v/>
      </c>
      <c r="W17" s="20" t="str">
        <f aca="false">IF(COUNTIFS(Results!$F$2:$F$482,$A17,Results!$A$2:$A$482,W$4)=0,"",IF(COUNTIFS(Results!$F$2:$F$482,$A17,Results!$A$2:$A$482,W$4,Results!$G$2:$G$482,"&gt;0")&gt;0,_xlfn.MINIFS(Results!$G$2:$G$482,Results!$F$2:$F$482,$A17,Results!$A$2:$A$482,W$4,Results!$G$2:$G$482,"&gt;0"),IF(COUNTIFS(Results!$F$2:$F$482,$A17,Results!$A$2:$A$482,W$4,Results!$H$2:$H$482,"DNF")&gt;0,"DNF","•")))</f>
        <v/>
      </c>
      <c r="X17" s="20" t="str">
        <f aca="false">IF(COUNTIFS(Results!$F$2:$F$482,$A17,Results!$A$2:$A$482,X$4)=0,"",IF(COUNTIFS(Results!$F$2:$F$482,$A17,Results!$A$2:$A$482,X$4,Results!$G$2:$G$482,"&gt;0")&gt;0,_xlfn.MINIFS(Results!$G$2:$G$482,Results!$F$2:$F$482,$A17,Results!$A$2:$A$482,X$4,Results!$G$2:$G$482,"&gt;0"),IF(COUNTIFS(Results!$F$2:$F$482,$A17,Results!$A$2:$A$482,X$4,Results!$H$2:$H$482,"DNF")&gt;0,"DNF","•")))</f>
        <v/>
      </c>
      <c r="Y17" s="20" t="str">
        <f aca="false">IF(COUNTIFS(Results!$F$2:$F$482,$A17,Results!$A$2:$A$482,Y$4)=0,"",IF(COUNTIFS(Results!$F$2:$F$482,$A17,Results!$A$2:$A$482,Y$4,Results!$G$2:$G$482,"&gt;0")&gt;0,_xlfn.MINIFS(Results!$G$2:$G$482,Results!$F$2:$F$482,$A17,Results!$A$2:$A$482,Y$4,Results!$G$2:$G$482,"&gt;0"),IF(COUNTIFS(Results!$F$2:$F$482,$A17,Results!$A$2:$A$482,Y$4,Results!$H$2:$H$482,"DNF")&gt;0,"DNF","•")))</f>
        <v/>
      </c>
      <c r="Z17" s="20" t="str">
        <f aca="false">IF(COUNTIFS(Results!$F$2:$F$482,$A17,Results!$A$2:$A$482,Z$4)=0,"",IF(COUNTIFS(Results!$F$2:$F$482,$A17,Results!$A$2:$A$482,Z$4,Results!$G$2:$G$482,"&gt;0")&gt;0,_xlfn.MINIFS(Results!$G$2:$G$482,Results!$F$2:$F$482,$A17,Results!$A$2:$A$482,Z$4,Results!$G$2:$G$482,"&gt;0"),IF(COUNTIFS(Results!$F$2:$F$482,$A17,Results!$A$2:$A$482,Z$4,Results!$H$2:$H$482,"DNF")&gt;0,"DNF","•")))</f>
        <v/>
      </c>
      <c r="AA17" s="20" t="str">
        <f aca="false">IF(COUNTIFS(Results!$F$2:$F$482,$A17,Results!$A$2:$A$482,AA$4)=0,"",IF(COUNTIFS(Results!$F$2:$F$482,$A17,Results!$A$2:$A$482,AA$4,Results!$G$2:$G$482,"&gt;0")&gt;0,_xlfn.MINIFS(Results!$G$2:$G$482,Results!$F$2:$F$482,$A17,Results!$A$2:$A$482,AA$4,Results!$G$2:$G$482,"&gt;0"),IF(COUNTIFS(Results!$F$2:$F$482,$A17,Results!$A$2:$A$482,AA$4,Results!$H$2:$H$482,"DNF")&gt;0,"DNF","•")))</f>
        <v/>
      </c>
      <c r="AB17" s="20" t="str">
        <f aca="false">IF(COUNTIFS(Results!$F$2:$F$482,$A17,Results!$A$2:$A$482,AB$4)=0,"",IF(COUNTIFS(Results!$F$2:$F$482,$A17,Results!$A$2:$A$482,AB$4,Results!$G$2:$G$482,"&gt;0")&gt;0,_xlfn.MINIFS(Results!$G$2:$G$482,Results!$F$2:$F$482,$A17,Results!$A$2:$A$482,AB$4,Results!$G$2:$G$482,"&gt;0"),IF(COUNTIFS(Results!$F$2:$F$482,$A17,Results!$A$2:$A$482,AB$4,Results!$H$2:$H$482,"DNF")&gt;0,"DNF","•")))</f>
        <v/>
      </c>
      <c r="AC17" s="20" t="str">
        <f aca="false">IF(COUNTIFS(Results!$F$2:$F$482,$A17,Results!$A$2:$A$482,AC$4)=0,"",IF(COUNTIFS(Results!$F$2:$F$482,$A17,Results!$A$2:$A$482,AC$4,Results!$G$2:$G$482,"&gt;0")&gt;0,_xlfn.MINIFS(Results!$G$2:$G$482,Results!$F$2:$F$482,$A17,Results!$A$2:$A$482,AC$4,Results!$G$2:$G$482,"&gt;0"),IF(COUNTIFS(Results!$F$2:$F$482,$A17,Results!$A$2:$A$482,AC$4,Results!$H$2:$H$482,"DNF")&gt;0,"DNF","•")))</f>
        <v/>
      </c>
      <c r="AD17" s="20" t="str">
        <f aca="false">IF(COUNTIFS(Results!$F$2:$F$482,$A17,Results!$A$2:$A$482,AD$4)=0,"",IF(COUNTIFS(Results!$F$2:$F$482,$A17,Results!$A$2:$A$482,AD$4,Results!$G$2:$G$482,"&gt;0")&gt;0,_xlfn.MINIFS(Results!$G$2:$G$482,Results!$F$2:$F$482,$A17,Results!$A$2:$A$482,AD$4,Results!$G$2:$G$482,"&gt;0"),IF(COUNTIFS(Results!$F$2:$F$482,$A17,Results!$A$2:$A$482,AD$4,Results!$H$2:$H$482,"DNF")&gt;0,"DNF","•")))</f>
        <v/>
      </c>
      <c r="AE17" s="20" t="str">
        <f aca="false">IF(COUNTIFS(Results!$F$2:$F$482,$A17,Results!$A$2:$A$482,AE$4)=0,"",IF(COUNTIFS(Results!$F$2:$F$482,$A17,Results!$A$2:$A$482,AE$4,Results!$G$2:$G$482,"&gt;0")&gt;0,_xlfn.MINIFS(Results!$G$2:$G$482,Results!$F$2:$F$482,$A17,Results!$A$2:$A$482,AE$4,Results!$G$2:$G$482,"&gt;0"),IF(COUNTIFS(Results!$F$2:$F$482,$A17,Results!$A$2:$A$482,AE$4,Results!$H$2:$H$482,"DNF")&gt;0,"DNF","•")))</f>
        <v/>
      </c>
      <c r="AF17" s="20" t="str">
        <f aca="false">IF(COUNTIFS(Results!$F$2:$F$482,$A17,Results!$A$2:$A$482,AF$4)=0,"",IF(COUNTIFS(Results!$F$2:$F$482,$A17,Results!$A$2:$A$482,AF$4,Results!$G$2:$G$482,"&gt;0")&gt;0,_xlfn.MINIFS(Results!$G$2:$G$482,Results!$F$2:$F$482,$A17,Results!$A$2:$A$482,AF$4,Results!$G$2:$G$482,"&gt;0"),IF(COUNTIFS(Results!$F$2:$F$482,$A17,Results!$A$2:$A$482,AF$4,Results!$H$2:$H$482,"DNF")&gt;0,"DNF","•")))</f>
        <v>DNF</v>
      </c>
      <c r="AG17" s="20" t="str">
        <f aca="false">IF(COUNTIFS(Results!$F$2:$F$482,$A17,Results!$A$2:$A$482,AG$4)=0,"",IF(COUNTIFS(Results!$F$2:$F$482,$A17,Results!$A$2:$A$482,AG$4,Results!$G$2:$G$482,"&gt;0")&gt;0,_xlfn.MINIFS(Results!$G$2:$G$482,Results!$F$2:$F$482,$A17,Results!$A$2:$A$482,AG$4,Results!$G$2:$G$482,"&gt;0"),IF(COUNTIFS(Results!$F$2:$F$482,$A17,Results!$A$2:$A$482,AG$4,Results!$H$2:$H$482,"DNF")&gt;0,"DNF","•")))</f>
        <v/>
      </c>
      <c r="AH17" s="20" t="str">
        <f aca="false">IF(COUNTIFS(Results!$F$2:$F$482,$A17,Results!$A$2:$A$482,AH$4)=0,"",IF(COUNTIFS(Results!$F$2:$F$482,$A17,Results!$A$2:$A$482,AH$4,Results!$G$2:$G$482,"&gt;0")&gt;0,_xlfn.MINIFS(Results!$G$2:$G$482,Results!$F$2:$F$482,$A17,Results!$A$2:$A$482,AH$4,Results!$G$2:$G$482,"&gt;0"),IF(COUNTIFS(Results!$F$2:$F$482,$A17,Results!$A$2:$A$482,AH$4,Results!$H$2:$H$482,"DNF")&gt;0,"DNF","•")))</f>
        <v/>
      </c>
      <c r="AI17" s="20" t="str">
        <f aca="false">IF(COUNTIFS(Results!$F$2:$F$482,$A17,Results!$A$2:$A$482,AI$4)=0,"",IF(COUNTIFS(Results!$F$2:$F$482,$A17,Results!$A$2:$A$482,AI$4,Results!$G$2:$G$482,"&gt;0")&gt;0,_xlfn.MINIFS(Results!$G$2:$G$482,Results!$F$2:$F$482,$A17,Results!$A$2:$A$482,AI$4,Results!$G$2:$G$482,"&gt;0"),IF(COUNTIFS(Results!$F$2:$F$482,$A17,Results!$A$2:$A$482,AI$4,Results!$H$2:$H$482,"DNF")&gt;0,"DNF","•")))</f>
        <v/>
      </c>
      <c r="AJ17" s="20" t="n">
        <f aca="false">IF(COUNTIFS(Results!$F$2:$F$482,$A17,Results!$A$2:$A$482,AJ$4)=0,"",IF(COUNTIFS(Results!$F$2:$F$482,$A17,Results!$A$2:$A$482,AJ$4,Results!$G$2:$G$482,"&gt;0")&gt;0,_xlfn.MINIFS(Results!$G$2:$G$482,Results!$F$2:$F$482,$A17,Results!$A$2:$A$482,AJ$4,Results!$G$2:$G$482,"&gt;0"),IF(COUNTIFS(Results!$F$2:$F$482,$A17,Results!$A$2:$A$482,AJ$4,Results!$H$2:$H$482,"DNF")&gt;0,"DNF","•")))</f>
        <v>16</v>
      </c>
      <c r="AK17" s="20" t="str">
        <f aca="false">IF(COUNTIFS(Results!$F$2:$F$482,$A17,Results!$A$2:$A$482,AK$4)=0,"",IF(COUNTIFS(Results!$F$2:$F$482,$A17,Results!$A$2:$A$482,AK$4,Results!$G$2:$G$482,"&gt;0")&gt;0,_xlfn.MINIFS(Results!$G$2:$G$482,Results!$F$2:$F$482,$A17,Results!$A$2:$A$482,AK$4,Results!$G$2:$G$482,"&gt;0"),IF(COUNTIFS(Results!$F$2:$F$482,$A17,Results!$A$2:$A$482,AK$4,Results!$H$2:$H$482,"DNF")&gt;0,"DNF","•")))</f>
        <v/>
      </c>
      <c r="AL17" s="20" t="str">
        <f aca="false">IF(COUNTIFS(Results!$F$2:$F$482,$A17,Results!$A$2:$A$482,AL$4)=0,"",IF(COUNTIFS(Results!$F$2:$F$482,$A17,Results!$A$2:$A$482,AL$4,Results!$G$2:$G$482,"&gt;0")&gt;0,_xlfn.MINIFS(Results!$G$2:$G$482,Results!$F$2:$F$482,$A17,Results!$A$2:$A$482,AL$4,Results!$G$2:$G$482,"&gt;0"),IF(COUNTIFS(Results!$F$2:$F$482,$A17,Results!$A$2:$A$482,AL$4,Results!$H$2:$H$482,"DNF")&gt;0,"DNF","•")))</f>
        <v/>
      </c>
      <c r="AM17" s="20" t="n">
        <f aca="false">IF(COUNTIFS(Results!$F$2:$F$482,$A17,Results!$A$2:$A$482,AM$4)=0,"",IF(COUNTIFS(Results!$F$2:$F$482,$A17,Results!$A$2:$A$482,AM$4,Results!$G$2:$G$482,"&gt;0")&gt;0,_xlfn.MINIFS(Results!$G$2:$G$482,Results!$F$2:$F$482,$A17,Results!$A$2:$A$482,AM$4,Results!$G$2:$G$482,"&gt;0"),IF(COUNTIFS(Results!$F$2:$F$482,$A17,Results!$A$2:$A$482,AM$4,Results!$H$2:$H$482,"DNF")&gt;0,"DNF","•")))</f>
        <v>8</v>
      </c>
      <c r="AN17" s="20" t="str">
        <f aca="false">IF(COUNTIFS(Results!$F$2:$F$482,$A17,Results!$A$2:$A$482,AN$4)=0,"",IF(COUNTIFS(Results!$F$2:$F$482,$A17,Results!$A$2:$A$482,AN$4,Results!$G$2:$G$482,"&gt;0")&gt;0,_xlfn.MINIFS(Results!$G$2:$G$482,Results!$F$2:$F$482,$A17,Results!$A$2:$A$482,AN$4,Results!$G$2:$G$482,"&gt;0"),IF(COUNTIFS(Results!$F$2:$F$482,$A17,Results!$A$2:$A$482,AN$4,Results!$H$2:$H$482,"DNF")&gt;0,"DNF","•")))</f>
        <v/>
      </c>
      <c r="AO17" s="20" t="str">
        <f aca="false">IF(COUNTIFS(Results!$F$2:$F$482,$A17,Results!$A$2:$A$482,AO$4)=0,"",IF(COUNTIFS(Results!$F$2:$F$482,$A17,Results!$A$2:$A$482,AO$4,Results!$G$2:$G$482,"&gt;0")&gt;0,_xlfn.MINIFS(Results!$G$2:$G$482,Results!$F$2:$F$482,$A17,Results!$A$2:$A$482,AO$4,Results!$G$2:$G$482,"&gt;0"),IF(COUNTIFS(Results!$F$2:$F$482,$A17,Results!$A$2:$A$482,AO$4,Results!$H$2:$H$482,"DNF")&gt;0,"DNF","•")))</f>
        <v/>
      </c>
      <c r="AP17" s="20" t="str">
        <f aca="false">IF(COUNTIFS(Results!$F$2:$F$482,$A17,Results!$A$2:$A$482,AP$4)=0,"",IF(COUNTIFS(Results!$F$2:$F$482,$A17,Results!$A$2:$A$482,AP$4,Results!$G$2:$G$482,"&gt;0")&gt;0,_xlfn.MINIFS(Results!$G$2:$G$482,Results!$F$2:$F$482,$A17,Results!$A$2:$A$482,AP$4,Results!$G$2:$G$482,"&gt;0"),IF(COUNTIFS(Results!$F$2:$F$482,$A17,Results!$A$2:$A$482,AP$4,Results!$H$2:$H$482,"DNF")&gt;0,"DNF","•")))</f>
        <v/>
      </c>
      <c r="AQ17" s="20" t="str">
        <f aca="false">IF(COUNTIFS(Results!$F$2:$F$482,$A17,Results!$A$2:$A$482,AQ$4)=0,"",IF(COUNTIFS(Results!$F$2:$F$482,$A17,Results!$A$2:$A$482,AQ$4,Results!$G$2:$G$482,"&gt;0")&gt;0,_xlfn.MINIFS(Results!$G$2:$G$482,Results!$F$2:$F$482,$A17,Results!$A$2:$A$482,AQ$4,Results!$G$2:$G$482,"&gt;0"),IF(COUNTIFS(Results!$F$2:$F$482,$A17,Results!$A$2:$A$482,AQ$4,Results!$H$2:$H$482,"DNF")&gt;0,"DNF","•")))</f>
        <v/>
      </c>
      <c r="AR17" s="20" t="str">
        <f aca="false">IF(COUNTIFS(Results!$F$2:$F$482,$A17,Results!$A$2:$A$482,AR$4)=0,"",IF(COUNTIFS(Results!$F$2:$F$482,$A17,Results!$A$2:$A$482,AR$4,Results!$G$2:$G$482,"&gt;0")&gt;0,_xlfn.MINIFS(Results!$G$2:$G$482,Results!$F$2:$F$482,$A17,Results!$A$2:$A$482,AR$4,Results!$G$2:$G$482,"&gt;0"),IF(COUNTIFS(Results!$F$2:$F$482,$A17,Results!$A$2:$A$482,AR$4,Results!$H$2:$H$482,"DNF")&gt;0,"DNF","•")))</f>
        <v/>
      </c>
      <c r="AS17" s="20" t="str">
        <f aca="false">IF(COUNTIFS(Results!$F$2:$F$482,$A17,Results!$A$2:$A$482,AS$4)=0,"",IF(COUNTIFS(Results!$F$2:$F$482,$A17,Results!$A$2:$A$482,AS$4,Results!$G$2:$G$482,"&gt;0")&gt;0,_xlfn.MINIFS(Results!$G$2:$G$482,Results!$F$2:$F$482,$A17,Results!$A$2:$A$482,AS$4,Results!$G$2:$G$482,"&gt;0"),IF(COUNTIFS(Results!$F$2:$F$482,$A17,Results!$A$2:$A$482,AS$4,Results!$H$2:$H$482,"DNF")&gt;0,"DNF","•")))</f>
        <v/>
      </c>
      <c r="AT17" s="20" t="str">
        <f aca="false">IF(COUNTIFS(Results!$F$2:$F$482,$A17,Results!$A$2:$A$482,AT$4)=0,"",IF(COUNTIFS(Results!$F$2:$F$482,$A17,Results!$A$2:$A$482,AT$4,Results!$G$2:$G$482,"&gt;0")&gt;0,_xlfn.MINIFS(Results!$G$2:$G$482,Results!$F$2:$F$482,$A17,Results!$A$2:$A$482,AT$4,Results!$G$2:$G$482,"&gt;0"),IF(COUNTIFS(Results!$F$2:$F$482,$A17,Results!$A$2:$A$482,AT$4,Results!$H$2:$H$482,"DNF")&gt;0,"DNF","•")))</f>
        <v/>
      </c>
      <c r="AU17" s="20" t="n">
        <f aca="false">IF(COUNTIFS(Results!$F$2:$F$482,$A17,Results!$A$2:$A$482,AU$4)=0,"",IF(COUNTIFS(Results!$F$2:$F$482,$A17,Results!$A$2:$A$482,AU$4,Results!$G$2:$G$482,"&gt;0")&gt;0,_xlfn.MINIFS(Results!$G$2:$G$482,Results!$F$2:$F$482,$A17,Results!$A$2:$A$482,AU$4,Results!$G$2:$G$482,"&gt;0"),IF(COUNTIFS(Results!$F$2:$F$482,$A17,Results!$A$2:$A$482,AU$4,Results!$H$2:$H$482,"DNF")&gt;0,"DNF","•")))</f>
        <v>1</v>
      </c>
      <c r="AV17" s="20" t="str">
        <f aca="false">IF(COUNTIFS(Results!$F$2:$F$482,$A17,Results!$A$2:$A$482,AV$4)=0,"",IF(COUNTIFS(Results!$F$2:$F$482,$A17,Results!$A$2:$A$482,AV$4,Results!$G$2:$G$482,"&gt;0")&gt;0,_xlfn.MINIFS(Results!$G$2:$G$482,Results!$F$2:$F$482,$A17,Results!$A$2:$A$482,AV$4,Results!$G$2:$G$482,"&gt;0"),IF(COUNTIFS(Results!$F$2:$F$482,$A17,Results!$A$2:$A$482,AV$4,Results!$H$2:$H$482,"DNF")&gt;0,"DNF","•")))</f>
        <v/>
      </c>
      <c r="AW17" s="20" t="str">
        <f aca="false">IF(COUNTIFS(Results!$F$2:$F$482,$A17,Results!$A$2:$A$482,AW$4)=0,"",IF(COUNTIFS(Results!$F$2:$F$482,$A17,Results!$A$2:$A$482,AW$4,Results!$G$2:$G$482,"&gt;0")&gt;0,_xlfn.MINIFS(Results!$G$2:$G$482,Results!$F$2:$F$482,$A17,Results!$A$2:$A$482,AW$4,Results!$G$2:$G$482,"&gt;0"),IF(COUNTIFS(Results!$F$2:$F$482,$A17,Results!$A$2:$A$482,AW$4,Results!$H$2:$H$482,"DNF")&gt;0,"DNF","•")))</f>
        <v/>
      </c>
      <c r="AX17" s="20" t="str">
        <f aca="false">IF(COUNTIFS(Results!$F$2:$F$482,$A17,Results!$A$2:$A$482,AX$4)=0,"",IF(COUNTIFS(Results!$F$2:$F$482,$A17,Results!$A$2:$A$482,AX$4,Results!$G$2:$G$482,"&gt;0")&gt;0,_xlfn.MINIFS(Results!$G$2:$G$482,Results!$F$2:$F$482,$A17,Results!$A$2:$A$482,AX$4,Results!$G$2:$G$482,"&gt;0"),IF(COUNTIFS(Results!$F$2:$F$482,$A17,Results!$A$2:$A$482,AX$4,Results!$H$2:$H$482,"DNF")&gt;0,"DNF","•")))</f>
        <v/>
      </c>
      <c r="AY17" s="20" t="str">
        <f aca="false">IF(COUNTIFS(Results!$F$2:$F$482,$A17,Results!$A$2:$A$482,AY$4)=0,"",IF(COUNTIFS(Results!$F$2:$F$482,$A17,Results!$A$2:$A$482,AY$4,Results!$G$2:$G$482,"&gt;0")&gt;0,_xlfn.MINIFS(Results!$G$2:$G$482,Results!$F$2:$F$482,$A17,Results!$A$2:$A$482,AY$4,Results!$G$2:$G$482,"&gt;0"),IF(COUNTIFS(Results!$F$2:$F$482,$A17,Results!$A$2:$A$482,AY$4,Results!$H$2:$H$482,"DNF")&gt;0,"DNF","•")))</f>
        <v>DNF</v>
      </c>
      <c r="AZ17" s="20" t="n">
        <f aca="false">IF(COUNTIFS(Results!$F$2:$F$482,$A17,Results!$A$2:$A$482,AZ$4)=0,"",IF(COUNTIFS(Results!$F$2:$F$482,$A17,Results!$A$2:$A$482,AZ$4,Results!$G$2:$G$482,"&gt;0")&gt;0,_xlfn.MINIFS(Results!$G$2:$G$482,Results!$F$2:$F$482,$A17,Results!$A$2:$A$482,AZ$4,Results!$G$2:$G$482,"&gt;0"),IF(COUNTIFS(Results!$F$2:$F$482,$A17,Results!$A$2:$A$482,AZ$4,Results!$H$2:$H$482,"DNF")&gt;0,"DNF","•")))</f>
        <v>46</v>
      </c>
      <c r="BA17" s="20" t="str">
        <f aca="false">IF(COUNTIFS(Results!$F$2:$F$482,$A17,Results!$A$2:$A$482,BA$4)=0,"",IF(COUNTIFS(Results!$F$2:$F$482,$A17,Results!$A$2:$A$482,BA$4,Results!$G$2:$G$482,"&gt;0")&gt;0,_xlfn.MINIFS(Results!$G$2:$G$482,Results!$F$2:$F$482,$A17,Results!$A$2:$A$482,BA$4,Results!$G$2:$G$482,"&gt;0"),IF(COUNTIFS(Results!$F$2:$F$482,$A17,Results!$A$2:$A$482,BA$4,Results!$H$2:$H$482,"DNF")&gt;0,"DNF","•")))</f>
        <v/>
      </c>
      <c r="BB17" s="20" t="str">
        <f aca="false">IF(COUNTIFS(Results!$F$2:$F$482,$A17,Results!$A$2:$A$482,BB$4)=0,"",IF(COUNTIFS(Results!$F$2:$F$482,$A17,Results!$A$2:$A$482,BB$4,Results!$G$2:$G$482,"&gt;0")&gt;0,_xlfn.MINIFS(Results!$G$2:$G$482,Results!$F$2:$F$482,$A17,Results!$A$2:$A$482,BB$4,Results!$G$2:$G$482,"&gt;0"),IF(COUNTIFS(Results!$F$2:$F$482,$A17,Results!$A$2:$A$482,BB$4,Results!$H$2:$H$482,"DNF")&gt;0,"DNF","•")))</f>
        <v/>
      </c>
      <c r="BC17" s="20" t="str">
        <f aca="false">IF(COUNTIFS(Results!$F$2:$F$482,$A17,Results!$A$2:$A$482,BC$4)=0,"",IF(COUNTIFS(Results!$F$2:$F$482,$A17,Results!$A$2:$A$482,BC$4,Results!$G$2:$G$482,"&gt;0")&gt;0,_xlfn.MINIFS(Results!$G$2:$G$482,Results!$F$2:$F$482,$A17,Results!$A$2:$A$482,BC$4,Results!$G$2:$G$482,"&gt;0"),IF(COUNTIFS(Results!$F$2:$F$482,$A17,Results!$A$2:$A$482,BC$4,Results!$H$2:$H$482,"DNF")&gt;0,"DNF","•")))</f>
        <v/>
      </c>
      <c r="BD17" s="20" t="n">
        <f aca="false">IF(COUNTIFS(Results!$F$2:$F$482,$A17,Results!$A$2:$A$482,BD$4)=0,"",IF(COUNTIFS(Results!$F$2:$F$482,$A17,Results!$A$2:$A$482,BD$4,Results!$G$2:$G$482,"&gt;0")&gt;0,_xlfn.MINIFS(Results!$G$2:$G$482,Results!$F$2:$F$482,$A17,Results!$A$2:$A$482,BD$4,Results!$G$2:$G$482,"&gt;0"),IF(COUNTIFS(Results!$F$2:$F$482,$A17,Results!$A$2:$A$482,BD$4,Results!$H$2:$H$482,"DNF")&gt;0,"DNF","•")))</f>
        <v>2</v>
      </c>
      <c r="BE17" s="20" t="n">
        <f aca="false">IF(COUNTIFS(Results!$F$2:$F$482,$A17,Results!$A$2:$A$482,BE$4)=0,"",IF(COUNTIFS(Results!$F$2:$F$482,$A17,Results!$A$2:$A$482,BE$4,Results!$G$2:$G$482,"&gt;0")&gt;0,_xlfn.MINIFS(Results!$G$2:$G$482,Results!$F$2:$F$482,$A17,Results!$A$2:$A$482,BE$4,Results!$G$2:$G$482,"&gt;0"),IF(COUNTIFS(Results!$F$2:$F$482,$A17,Results!$A$2:$A$482,BE$4,Results!$H$2:$H$482,"DNF")&gt;0,"DNF","•")))</f>
        <v>2</v>
      </c>
      <c r="BF17" s="20" t="str">
        <f aca="false">IF(COUNTIFS(Results!$F$2:$F$482,$A17,Results!$A$2:$A$482,BF$4)=0,"",IF(COUNTIFS(Results!$F$2:$F$482,$A17,Results!$A$2:$A$482,BF$4,Results!$G$2:$G$482,"&gt;0")&gt;0,_xlfn.MINIFS(Results!$G$2:$G$482,Results!$F$2:$F$482,$A17,Results!$A$2:$A$482,BF$4,Results!$G$2:$G$482,"&gt;0"),IF(COUNTIFS(Results!$F$2:$F$482,$A17,Results!$A$2:$A$482,BF$4,Results!$H$2:$H$482,"DNF")&gt;0,"DNF","•")))</f>
        <v/>
      </c>
      <c r="BG17" s="20" t="n">
        <f aca="false">IF(COUNTIFS(Results!$F$2:$F$482,$A17,Results!$A$2:$A$482,BG$4)=0,"",IF(COUNTIFS(Results!$F$2:$F$482,$A17,Results!$A$2:$A$482,BG$4,Results!$G$2:$G$482,"&gt;0")&gt;0,_xlfn.MINIFS(Results!$G$2:$G$482,Results!$F$2:$F$482,$A17,Results!$A$2:$A$482,BG$4,Results!$G$2:$G$482,"&gt;0"),IF(COUNTIFS(Results!$F$2:$F$482,$A17,Results!$A$2:$A$482,BG$4,Results!$H$2:$H$482,"DNF")&gt;0,"DNF","•")))</f>
        <v>3</v>
      </c>
      <c r="BH17" s="20" t="str">
        <f aca="false">IF(COUNTIFS(Results!$F$2:$F$482,$A17,Results!$A$2:$A$482,BH$4)=0,"",IF(COUNTIFS(Results!$F$2:$F$482,$A17,Results!$A$2:$A$482,BH$4,Results!$G$2:$G$482,"&gt;0")&gt;0,_xlfn.MINIFS(Results!$G$2:$G$482,Results!$F$2:$F$482,$A17,Results!$A$2:$A$482,BH$4,Results!$G$2:$G$482,"&gt;0"),IF(COUNTIFS(Results!$F$2:$F$482,$A17,Results!$A$2:$A$482,BH$4,Results!$H$2:$H$482,"DNF")&gt;0,"DNF","•")))</f>
        <v/>
      </c>
      <c r="BI17" s="20" t="n">
        <f aca="false">IF(COUNTIFS(Results!$F$2:$F$482,$A17,Results!$A$2:$A$482,BI$4)=0,"",IF(COUNTIFS(Results!$F$2:$F$482,$A17,Results!$A$2:$A$482,BI$4,Results!$G$2:$G$482,"&gt;0")&gt;0,_xlfn.MINIFS(Results!$G$2:$G$482,Results!$F$2:$F$482,$A17,Results!$A$2:$A$482,BI$4,Results!$G$2:$G$482,"&gt;0"),IF(COUNTIFS(Results!$F$2:$F$482,$A17,Results!$A$2:$A$482,BI$4,Results!$H$2:$H$482,"DNF")&gt;0,"DNF","•")))</f>
        <v>1</v>
      </c>
      <c r="BJ17" s="20" t="str">
        <f aca="false">IF(COUNTIFS(Results!$F$2:$F$482,$A17,Results!$A$2:$A$482,BJ$4)=0,"",IF(COUNTIFS(Results!$F$2:$F$482,$A17,Results!$A$2:$A$482,BJ$4,Results!$G$2:$G$482,"&gt;0")&gt;0,_xlfn.MINIFS(Results!$G$2:$G$482,Results!$F$2:$F$482,$A17,Results!$A$2:$A$482,BJ$4,Results!$G$2:$G$482,"&gt;0"),IF(COUNTIFS(Results!$F$2:$F$482,$A17,Results!$A$2:$A$482,BJ$4,Results!$H$2:$H$482,"DNF")&gt;0,"DNF","•")))</f>
        <v/>
      </c>
      <c r="BK17" s="20" t="str">
        <f aca="false">IF(COUNTIFS(Results!$F$2:$F$482,$A17,Results!$A$2:$A$482,BK$4)=0,"",IF(COUNTIFS(Results!$F$2:$F$482,$A17,Results!$A$2:$A$482,BK$4,Results!$G$2:$G$482,"&gt;0")&gt;0,_xlfn.MINIFS(Results!$G$2:$G$482,Results!$F$2:$F$482,$A17,Results!$A$2:$A$482,BK$4,Results!$G$2:$G$482,"&gt;0"),IF(COUNTIFS(Results!$F$2:$F$482,$A17,Results!$A$2:$A$482,BK$4,Results!$H$2:$H$482,"DNF")&gt;0,"DNF","•")))</f>
        <v/>
      </c>
      <c r="BL17" s="20" t="str">
        <f aca="false">IF(COUNTIFS(Results!$F$2:$F$482,$A17,Results!$A$2:$A$482,BL$4)=0,"",IF(COUNTIFS(Results!$F$2:$F$482,$A17,Results!$A$2:$A$482,BL$4,Results!$G$2:$G$482,"&gt;0")&gt;0,_xlfn.MINIFS(Results!$G$2:$G$482,Results!$F$2:$F$482,$A17,Results!$A$2:$A$482,BL$4,Results!$G$2:$G$482,"&gt;0"),IF(COUNTIFS(Results!$F$2:$F$482,$A17,Results!$A$2:$A$482,BL$4,Results!$H$2:$H$482,"DNF")&gt;0,"DNF","•")))</f>
        <v/>
      </c>
    </row>
    <row r="18" customFormat="false" ht="15" hidden="false" customHeight="false" outlineLevel="0" collapsed="false">
      <c r="A18" s="7" t="str">
        <f aca="false">Riders!A16</f>
        <v>Daria Dębicka</v>
      </c>
      <c r="B18" s="20" t="str">
        <f aca="false">IF(COUNTIFS(Results!$F$2:$F$482,$A18,Results!$A$2:$A$482,B$4)=0,"",IF(COUNTIFS(Results!$F$2:$F$482,$A18,Results!$A$2:$A$482,B$4,Results!$G$2:$G$482,"&gt;0")&gt;0,_xlfn.MINIFS(Results!$G$2:$G$482,Results!$F$2:$F$482,$A18,Results!$A$2:$A$482,B$4,Results!$G$2:$G$482,"&gt;0"),IF(COUNTIFS(Results!$F$2:$F$482,$A18,Results!$A$2:$A$482,B$4,Results!$H$2:$H$482,"DNF")&gt;0,"DNF","•")))</f>
        <v/>
      </c>
      <c r="C18" s="20" t="str">
        <f aca="false">IF(COUNTIFS(Results!$F$2:$F$482,$A18,Results!$A$2:$A$482,C$4)=0,"",IF(COUNTIFS(Results!$F$2:$F$482,$A18,Results!$A$2:$A$482,C$4,Results!$G$2:$G$482,"&gt;0")&gt;0,_xlfn.MINIFS(Results!$G$2:$G$482,Results!$F$2:$F$482,$A18,Results!$A$2:$A$482,C$4,Results!$G$2:$G$482,"&gt;0"),IF(COUNTIFS(Results!$F$2:$F$482,$A18,Results!$A$2:$A$482,C$4,Results!$H$2:$H$482,"DNF")&gt;0,"DNF","•")))</f>
        <v/>
      </c>
      <c r="D18" s="20" t="str">
        <f aca="false">IF(COUNTIFS(Results!$F$2:$F$482,$A18,Results!$A$2:$A$482,D$4)=0,"",IF(COUNTIFS(Results!$F$2:$F$482,$A18,Results!$A$2:$A$482,D$4,Results!$G$2:$G$482,"&gt;0")&gt;0,_xlfn.MINIFS(Results!$G$2:$G$482,Results!$F$2:$F$482,$A18,Results!$A$2:$A$482,D$4,Results!$G$2:$G$482,"&gt;0"),IF(COUNTIFS(Results!$F$2:$F$482,$A18,Results!$A$2:$A$482,D$4,Results!$H$2:$H$482,"DNF")&gt;0,"DNF","•")))</f>
        <v/>
      </c>
      <c r="E18" s="20" t="n">
        <f aca="false">IF(COUNTIFS(Results!$F$2:$F$482,$A18,Results!$A$2:$A$482,E$4)=0,"",IF(COUNTIFS(Results!$F$2:$F$482,$A18,Results!$A$2:$A$482,E$4,Results!$G$2:$G$482,"&gt;0")&gt;0,_xlfn.MINIFS(Results!$G$2:$G$482,Results!$F$2:$F$482,$A18,Results!$A$2:$A$482,E$4,Results!$G$2:$G$482,"&gt;0"),IF(COUNTIFS(Results!$F$2:$F$482,$A18,Results!$A$2:$A$482,E$4,Results!$H$2:$H$482,"DNF")&gt;0,"DNF","•")))</f>
        <v>1</v>
      </c>
      <c r="F18" s="20" t="str">
        <f aca="false">IF(COUNTIFS(Results!$F$2:$F$482,$A18,Results!$A$2:$A$482,F$4)=0,"",IF(COUNTIFS(Results!$F$2:$F$482,$A18,Results!$A$2:$A$482,F$4,Results!$G$2:$G$482,"&gt;0")&gt;0,_xlfn.MINIFS(Results!$G$2:$G$482,Results!$F$2:$F$482,$A18,Results!$A$2:$A$482,F$4,Results!$G$2:$G$482,"&gt;0"),IF(COUNTIFS(Results!$F$2:$F$482,$A18,Results!$A$2:$A$482,F$4,Results!$H$2:$H$482,"DNF")&gt;0,"DNF","•")))</f>
        <v/>
      </c>
      <c r="G18" s="20" t="str">
        <f aca="false">IF(COUNTIFS(Results!$F$2:$F$482,$A18,Results!$A$2:$A$482,G$4)=0,"",IF(COUNTIFS(Results!$F$2:$F$482,$A18,Results!$A$2:$A$482,G$4,Results!$G$2:$G$482,"&gt;0")&gt;0,_xlfn.MINIFS(Results!$G$2:$G$482,Results!$F$2:$F$482,$A18,Results!$A$2:$A$482,G$4,Results!$G$2:$G$482,"&gt;0"),IF(COUNTIFS(Results!$F$2:$F$482,$A18,Results!$A$2:$A$482,G$4,Results!$H$2:$H$482,"DNF")&gt;0,"DNF","•")))</f>
        <v/>
      </c>
      <c r="H18" s="20" t="str">
        <f aca="false">IF(COUNTIFS(Results!$F$2:$F$482,$A18,Results!$A$2:$A$482,H$4)=0,"",IF(COUNTIFS(Results!$F$2:$F$482,$A18,Results!$A$2:$A$482,H$4,Results!$G$2:$G$482,"&gt;0")&gt;0,_xlfn.MINIFS(Results!$G$2:$G$482,Results!$F$2:$F$482,$A18,Results!$A$2:$A$482,H$4,Results!$G$2:$G$482,"&gt;0"),IF(COUNTIFS(Results!$F$2:$F$482,$A18,Results!$A$2:$A$482,H$4,Results!$H$2:$H$482,"DNF")&gt;0,"DNF","•")))</f>
        <v/>
      </c>
      <c r="I18" s="20" t="n">
        <f aca="false">IF(COUNTIFS(Results!$F$2:$F$482,$A18,Results!$A$2:$A$482,I$4)=0,"",IF(COUNTIFS(Results!$F$2:$F$482,$A18,Results!$A$2:$A$482,I$4,Results!$G$2:$G$482,"&gt;0")&gt;0,_xlfn.MINIFS(Results!$G$2:$G$482,Results!$F$2:$F$482,$A18,Results!$A$2:$A$482,I$4,Results!$G$2:$G$482,"&gt;0"),IF(COUNTIFS(Results!$F$2:$F$482,$A18,Results!$A$2:$A$482,I$4,Results!$H$2:$H$482,"DNF")&gt;0,"DNF","•")))</f>
        <v>120</v>
      </c>
      <c r="J18" s="20" t="str">
        <f aca="false">IF(COUNTIFS(Results!$F$2:$F$482,$A18,Results!$A$2:$A$482,J$4)=0,"",IF(COUNTIFS(Results!$F$2:$F$482,$A18,Results!$A$2:$A$482,J$4,Results!$G$2:$G$482,"&gt;0")&gt;0,_xlfn.MINIFS(Results!$G$2:$G$482,Results!$F$2:$F$482,$A18,Results!$A$2:$A$482,J$4,Results!$G$2:$G$482,"&gt;0"),IF(COUNTIFS(Results!$F$2:$F$482,$A18,Results!$A$2:$A$482,J$4,Results!$H$2:$H$482,"DNF")&gt;0,"DNF","•")))</f>
        <v/>
      </c>
      <c r="K18" s="20" t="str">
        <f aca="false">IF(COUNTIFS(Results!$F$2:$F$482,$A18,Results!$A$2:$A$482,K$4)=0,"",IF(COUNTIFS(Results!$F$2:$F$482,$A18,Results!$A$2:$A$482,K$4,Results!$G$2:$G$482,"&gt;0")&gt;0,_xlfn.MINIFS(Results!$G$2:$G$482,Results!$F$2:$F$482,$A18,Results!$A$2:$A$482,K$4,Results!$G$2:$G$482,"&gt;0"),IF(COUNTIFS(Results!$F$2:$F$482,$A18,Results!$A$2:$A$482,K$4,Results!$H$2:$H$482,"DNF")&gt;0,"DNF","•")))</f>
        <v>DNF</v>
      </c>
      <c r="L18" s="20" t="str">
        <f aca="false">IF(COUNTIFS(Results!$F$2:$F$482,$A18,Results!$A$2:$A$482,L$4)=0,"",IF(COUNTIFS(Results!$F$2:$F$482,$A18,Results!$A$2:$A$482,L$4,Results!$G$2:$G$482,"&gt;0")&gt;0,_xlfn.MINIFS(Results!$G$2:$G$482,Results!$F$2:$F$482,$A18,Results!$A$2:$A$482,L$4,Results!$G$2:$G$482,"&gt;0"),IF(COUNTIFS(Results!$F$2:$F$482,$A18,Results!$A$2:$A$482,L$4,Results!$H$2:$H$482,"DNF")&gt;0,"DNF","•")))</f>
        <v/>
      </c>
      <c r="M18" s="20" t="str">
        <f aca="false">IF(COUNTIFS(Results!$F$2:$F$482,$A18,Results!$A$2:$A$482,M$4)=0,"",IF(COUNTIFS(Results!$F$2:$F$482,$A18,Results!$A$2:$A$482,M$4,Results!$G$2:$G$482,"&gt;0")&gt;0,_xlfn.MINIFS(Results!$G$2:$G$482,Results!$F$2:$F$482,$A18,Results!$A$2:$A$482,M$4,Results!$G$2:$G$482,"&gt;0"),IF(COUNTIFS(Results!$F$2:$F$482,$A18,Results!$A$2:$A$482,M$4,Results!$H$2:$H$482,"DNF")&gt;0,"DNF","•")))</f>
        <v/>
      </c>
      <c r="N18" s="20" t="str">
        <f aca="false">IF(COUNTIFS(Results!$F$2:$F$482,$A18,Results!$A$2:$A$482,N$4)=0,"",IF(COUNTIFS(Results!$F$2:$F$482,$A18,Results!$A$2:$A$482,N$4,Results!$G$2:$G$482,"&gt;0")&gt;0,_xlfn.MINIFS(Results!$G$2:$G$482,Results!$F$2:$F$482,$A18,Results!$A$2:$A$482,N$4,Results!$G$2:$G$482,"&gt;0"),IF(COUNTIFS(Results!$F$2:$F$482,$A18,Results!$A$2:$A$482,N$4,Results!$H$2:$H$482,"DNF")&gt;0,"DNF","•")))</f>
        <v/>
      </c>
      <c r="O18" s="20" t="str">
        <f aca="false">IF(COUNTIFS(Results!$F$2:$F$482,$A18,Results!$A$2:$A$482,O$4)=0,"",IF(COUNTIFS(Results!$F$2:$F$482,$A18,Results!$A$2:$A$482,O$4,Results!$G$2:$G$482,"&gt;0")&gt;0,_xlfn.MINIFS(Results!$G$2:$G$482,Results!$F$2:$F$482,$A18,Results!$A$2:$A$482,O$4,Results!$G$2:$G$482,"&gt;0"),IF(COUNTIFS(Results!$F$2:$F$482,$A18,Results!$A$2:$A$482,O$4,Results!$H$2:$H$482,"DNF")&gt;0,"DNF","•")))</f>
        <v/>
      </c>
      <c r="P18" s="20" t="str">
        <f aca="false">IF(COUNTIFS(Results!$F$2:$F$482,$A18,Results!$A$2:$A$482,P$4)=0,"",IF(COUNTIFS(Results!$F$2:$F$482,$A18,Results!$A$2:$A$482,P$4,Results!$G$2:$G$482,"&gt;0")&gt;0,_xlfn.MINIFS(Results!$G$2:$G$482,Results!$F$2:$F$482,$A18,Results!$A$2:$A$482,P$4,Results!$G$2:$G$482,"&gt;0"),IF(COUNTIFS(Results!$F$2:$F$482,$A18,Results!$A$2:$A$482,P$4,Results!$H$2:$H$482,"DNF")&gt;0,"DNF","•")))</f>
        <v/>
      </c>
      <c r="Q18" s="20" t="str">
        <f aca="false">IF(COUNTIFS(Results!$F$2:$F$482,$A18,Results!$A$2:$A$482,Q$4)=0,"",IF(COUNTIFS(Results!$F$2:$F$482,$A18,Results!$A$2:$A$482,Q$4,Results!$G$2:$G$482,"&gt;0")&gt;0,_xlfn.MINIFS(Results!$G$2:$G$482,Results!$F$2:$F$482,$A18,Results!$A$2:$A$482,Q$4,Results!$G$2:$G$482,"&gt;0"),IF(COUNTIFS(Results!$F$2:$F$482,$A18,Results!$A$2:$A$482,Q$4,Results!$H$2:$H$482,"DNF")&gt;0,"DNF","•")))</f>
        <v/>
      </c>
      <c r="R18" s="20" t="str">
        <f aca="false">IF(COUNTIFS(Results!$F$2:$F$482,$A18,Results!$A$2:$A$482,R$4)=0,"",IF(COUNTIFS(Results!$F$2:$F$482,$A18,Results!$A$2:$A$482,R$4,Results!$G$2:$G$482,"&gt;0")&gt;0,_xlfn.MINIFS(Results!$G$2:$G$482,Results!$F$2:$F$482,$A18,Results!$A$2:$A$482,R$4,Results!$G$2:$G$482,"&gt;0"),IF(COUNTIFS(Results!$F$2:$F$482,$A18,Results!$A$2:$A$482,R$4,Results!$H$2:$H$482,"DNF")&gt;0,"DNF","•")))</f>
        <v/>
      </c>
      <c r="S18" s="20" t="str">
        <f aca="false">IF(COUNTIFS(Results!$F$2:$F$482,$A18,Results!$A$2:$A$482,S$4)=0,"",IF(COUNTIFS(Results!$F$2:$F$482,$A18,Results!$A$2:$A$482,S$4,Results!$G$2:$G$482,"&gt;0")&gt;0,_xlfn.MINIFS(Results!$G$2:$G$482,Results!$F$2:$F$482,$A18,Results!$A$2:$A$482,S$4,Results!$G$2:$G$482,"&gt;0"),IF(COUNTIFS(Results!$F$2:$F$482,$A18,Results!$A$2:$A$482,S$4,Results!$H$2:$H$482,"DNF")&gt;0,"DNF","•")))</f>
        <v/>
      </c>
      <c r="T18" s="20" t="str">
        <f aca="false">IF(COUNTIFS(Results!$F$2:$F$482,$A18,Results!$A$2:$A$482,T$4)=0,"",IF(COUNTIFS(Results!$F$2:$F$482,$A18,Results!$A$2:$A$482,T$4,Results!$G$2:$G$482,"&gt;0")&gt;0,_xlfn.MINIFS(Results!$G$2:$G$482,Results!$F$2:$F$482,$A18,Results!$A$2:$A$482,T$4,Results!$G$2:$G$482,"&gt;0"),IF(COUNTIFS(Results!$F$2:$F$482,$A18,Results!$A$2:$A$482,T$4,Results!$H$2:$H$482,"DNF")&gt;0,"DNF","•")))</f>
        <v/>
      </c>
      <c r="U18" s="20" t="str">
        <f aca="false">IF(COUNTIFS(Results!$F$2:$F$482,$A18,Results!$A$2:$A$482,U$4)=0,"",IF(COUNTIFS(Results!$F$2:$F$482,$A18,Results!$A$2:$A$482,U$4,Results!$G$2:$G$482,"&gt;0")&gt;0,_xlfn.MINIFS(Results!$G$2:$G$482,Results!$F$2:$F$482,$A18,Results!$A$2:$A$482,U$4,Results!$G$2:$G$482,"&gt;0"),IF(COUNTIFS(Results!$F$2:$F$482,$A18,Results!$A$2:$A$482,U$4,Results!$H$2:$H$482,"DNF")&gt;0,"DNF","•")))</f>
        <v/>
      </c>
      <c r="V18" s="20" t="str">
        <f aca="false">IF(COUNTIFS(Results!$F$2:$F$482,$A18,Results!$A$2:$A$482,V$4)=0,"",IF(COUNTIFS(Results!$F$2:$F$482,$A18,Results!$A$2:$A$482,V$4,Results!$G$2:$G$482,"&gt;0")&gt;0,_xlfn.MINIFS(Results!$G$2:$G$482,Results!$F$2:$F$482,$A18,Results!$A$2:$A$482,V$4,Results!$G$2:$G$482,"&gt;0"),IF(COUNTIFS(Results!$F$2:$F$482,$A18,Results!$A$2:$A$482,V$4,Results!$H$2:$H$482,"DNF")&gt;0,"DNF","•")))</f>
        <v/>
      </c>
      <c r="W18" s="20" t="str">
        <f aca="false">IF(COUNTIFS(Results!$F$2:$F$482,$A18,Results!$A$2:$A$482,W$4)=0,"",IF(COUNTIFS(Results!$F$2:$F$482,$A18,Results!$A$2:$A$482,W$4,Results!$G$2:$G$482,"&gt;0")&gt;0,_xlfn.MINIFS(Results!$G$2:$G$482,Results!$F$2:$F$482,$A18,Results!$A$2:$A$482,W$4,Results!$G$2:$G$482,"&gt;0"),IF(COUNTIFS(Results!$F$2:$F$482,$A18,Results!$A$2:$A$482,W$4,Results!$H$2:$H$482,"DNF")&gt;0,"DNF","•")))</f>
        <v/>
      </c>
      <c r="X18" s="20" t="str">
        <f aca="false">IF(COUNTIFS(Results!$F$2:$F$482,$A18,Results!$A$2:$A$482,X$4)=0,"",IF(COUNTIFS(Results!$F$2:$F$482,$A18,Results!$A$2:$A$482,X$4,Results!$G$2:$G$482,"&gt;0")&gt;0,_xlfn.MINIFS(Results!$G$2:$G$482,Results!$F$2:$F$482,$A18,Results!$A$2:$A$482,X$4,Results!$G$2:$G$482,"&gt;0"),IF(COUNTIFS(Results!$F$2:$F$482,$A18,Results!$A$2:$A$482,X$4,Results!$H$2:$H$482,"DNF")&gt;0,"DNF","•")))</f>
        <v/>
      </c>
      <c r="Y18" s="20" t="str">
        <f aca="false">IF(COUNTIFS(Results!$F$2:$F$482,$A18,Results!$A$2:$A$482,Y$4)=0,"",IF(COUNTIFS(Results!$F$2:$F$482,$A18,Results!$A$2:$A$482,Y$4,Results!$G$2:$G$482,"&gt;0")&gt;0,_xlfn.MINIFS(Results!$G$2:$G$482,Results!$F$2:$F$482,$A18,Results!$A$2:$A$482,Y$4,Results!$G$2:$G$482,"&gt;0"),IF(COUNTIFS(Results!$F$2:$F$482,$A18,Results!$A$2:$A$482,Y$4,Results!$H$2:$H$482,"DNF")&gt;0,"DNF","•")))</f>
        <v/>
      </c>
      <c r="Z18" s="20" t="str">
        <f aca="false">IF(COUNTIFS(Results!$F$2:$F$482,$A18,Results!$A$2:$A$482,Z$4)=0,"",IF(COUNTIFS(Results!$F$2:$F$482,$A18,Results!$A$2:$A$482,Z$4,Results!$G$2:$G$482,"&gt;0")&gt;0,_xlfn.MINIFS(Results!$G$2:$G$482,Results!$F$2:$F$482,$A18,Results!$A$2:$A$482,Z$4,Results!$G$2:$G$482,"&gt;0"),IF(COUNTIFS(Results!$F$2:$F$482,$A18,Results!$A$2:$A$482,Z$4,Results!$H$2:$H$482,"DNF")&gt;0,"DNF","•")))</f>
        <v/>
      </c>
      <c r="AA18" s="20" t="str">
        <f aca="false">IF(COUNTIFS(Results!$F$2:$F$482,$A18,Results!$A$2:$A$482,AA$4)=0,"",IF(COUNTIFS(Results!$F$2:$F$482,$A18,Results!$A$2:$A$482,AA$4,Results!$G$2:$G$482,"&gt;0")&gt;0,_xlfn.MINIFS(Results!$G$2:$G$482,Results!$F$2:$F$482,$A18,Results!$A$2:$A$482,AA$4,Results!$G$2:$G$482,"&gt;0"),IF(COUNTIFS(Results!$F$2:$F$482,$A18,Results!$A$2:$A$482,AA$4,Results!$H$2:$H$482,"DNF")&gt;0,"DNF","•")))</f>
        <v/>
      </c>
      <c r="AB18" s="20" t="str">
        <f aca="false">IF(COUNTIFS(Results!$F$2:$F$482,$A18,Results!$A$2:$A$482,AB$4)=0,"",IF(COUNTIFS(Results!$F$2:$F$482,$A18,Results!$A$2:$A$482,AB$4,Results!$G$2:$G$482,"&gt;0")&gt;0,_xlfn.MINIFS(Results!$G$2:$G$482,Results!$F$2:$F$482,$A18,Results!$A$2:$A$482,AB$4,Results!$G$2:$G$482,"&gt;0"),IF(COUNTIFS(Results!$F$2:$F$482,$A18,Results!$A$2:$A$482,AB$4,Results!$H$2:$H$482,"DNF")&gt;0,"DNF","•")))</f>
        <v/>
      </c>
      <c r="AC18" s="20" t="str">
        <f aca="false">IF(COUNTIFS(Results!$F$2:$F$482,$A18,Results!$A$2:$A$482,AC$4)=0,"",IF(COUNTIFS(Results!$F$2:$F$482,$A18,Results!$A$2:$A$482,AC$4,Results!$G$2:$G$482,"&gt;0")&gt;0,_xlfn.MINIFS(Results!$G$2:$G$482,Results!$F$2:$F$482,$A18,Results!$A$2:$A$482,AC$4,Results!$G$2:$G$482,"&gt;0"),IF(COUNTIFS(Results!$F$2:$F$482,$A18,Results!$A$2:$A$482,AC$4,Results!$H$2:$H$482,"DNF")&gt;0,"DNF","•")))</f>
        <v/>
      </c>
      <c r="AD18" s="20" t="str">
        <f aca="false">IF(COUNTIFS(Results!$F$2:$F$482,$A18,Results!$A$2:$A$482,AD$4)=0,"",IF(COUNTIFS(Results!$F$2:$F$482,$A18,Results!$A$2:$A$482,AD$4,Results!$G$2:$G$482,"&gt;0")&gt;0,_xlfn.MINIFS(Results!$G$2:$G$482,Results!$F$2:$F$482,$A18,Results!$A$2:$A$482,AD$4,Results!$G$2:$G$482,"&gt;0"),IF(COUNTIFS(Results!$F$2:$F$482,$A18,Results!$A$2:$A$482,AD$4,Results!$H$2:$H$482,"DNF")&gt;0,"DNF","•")))</f>
        <v/>
      </c>
      <c r="AE18" s="20" t="str">
        <f aca="false">IF(COUNTIFS(Results!$F$2:$F$482,$A18,Results!$A$2:$A$482,AE$4)=0,"",IF(COUNTIFS(Results!$F$2:$F$482,$A18,Results!$A$2:$A$482,AE$4,Results!$G$2:$G$482,"&gt;0")&gt;0,_xlfn.MINIFS(Results!$G$2:$G$482,Results!$F$2:$F$482,$A18,Results!$A$2:$A$482,AE$4,Results!$G$2:$G$482,"&gt;0"),IF(COUNTIFS(Results!$F$2:$F$482,$A18,Results!$A$2:$A$482,AE$4,Results!$H$2:$H$482,"DNF")&gt;0,"DNF","•")))</f>
        <v/>
      </c>
      <c r="AF18" s="20" t="str">
        <f aca="false">IF(COUNTIFS(Results!$F$2:$F$482,$A18,Results!$A$2:$A$482,AF$4)=0,"",IF(COUNTIFS(Results!$F$2:$F$482,$A18,Results!$A$2:$A$482,AF$4,Results!$G$2:$G$482,"&gt;0")&gt;0,_xlfn.MINIFS(Results!$G$2:$G$482,Results!$F$2:$F$482,$A18,Results!$A$2:$A$482,AF$4,Results!$G$2:$G$482,"&gt;0"),IF(COUNTIFS(Results!$F$2:$F$482,$A18,Results!$A$2:$A$482,AF$4,Results!$H$2:$H$482,"DNF")&gt;0,"DNF","•")))</f>
        <v/>
      </c>
      <c r="AG18" s="20" t="str">
        <f aca="false">IF(COUNTIFS(Results!$F$2:$F$482,$A18,Results!$A$2:$A$482,AG$4)=0,"",IF(COUNTIFS(Results!$F$2:$F$482,$A18,Results!$A$2:$A$482,AG$4,Results!$G$2:$G$482,"&gt;0")&gt;0,_xlfn.MINIFS(Results!$G$2:$G$482,Results!$F$2:$F$482,$A18,Results!$A$2:$A$482,AG$4,Results!$G$2:$G$482,"&gt;0"),IF(COUNTIFS(Results!$F$2:$F$482,$A18,Results!$A$2:$A$482,AG$4,Results!$H$2:$H$482,"DNF")&gt;0,"DNF","•")))</f>
        <v/>
      </c>
      <c r="AH18" s="20" t="str">
        <f aca="false">IF(COUNTIFS(Results!$F$2:$F$482,$A18,Results!$A$2:$A$482,AH$4)=0,"",IF(COUNTIFS(Results!$F$2:$F$482,$A18,Results!$A$2:$A$482,AH$4,Results!$G$2:$G$482,"&gt;0")&gt;0,_xlfn.MINIFS(Results!$G$2:$G$482,Results!$F$2:$F$482,$A18,Results!$A$2:$A$482,AH$4,Results!$G$2:$G$482,"&gt;0"),IF(COUNTIFS(Results!$F$2:$F$482,$A18,Results!$A$2:$A$482,AH$4,Results!$H$2:$H$482,"DNF")&gt;0,"DNF","•")))</f>
        <v/>
      </c>
      <c r="AI18" s="20" t="str">
        <f aca="false">IF(COUNTIFS(Results!$F$2:$F$482,$A18,Results!$A$2:$A$482,AI$4)=0,"",IF(COUNTIFS(Results!$F$2:$F$482,$A18,Results!$A$2:$A$482,AI$4,Results!$G$2:$G$482,"&gt;0")&gt;0,_xlfn.MINIFS(Results!$G$2:$G$482,Results!$F$2:$F$482,$A18,Results!$A$2:$A$482,AI$4,Results!$G$2:$G$482,"&gt;0"),IF(COUNTIFS(Results!$F$2:$F$482,$A18,Results!$A$2:$A$482,AI$4,Results!$H$2:$H$482,"DNF")&gt;0,"DNF","•")))</f>
        <v/>
      </c>
      <c r="AJ18" s="20" t="n">
        <f aca="false">IF(COUNTIFS(Results!$F$2:$F$482,$A18,Results!$A$2:$A$482,AJ$4)=0,"",IF(COUNTIFS(Results!$F$2:$F$482,$A18,Results!$A$2:$A$482,AJ$4,Results!$G$2:$G$482,"&gt;0")&gt;0,_xlfn.MINIFS(Results!$G$2:$G$482,Results!$F$2:$F$482,$A18,Results!$A$2:$A$482,AJ$4,Results!$G$2:$G$482,"&gt;0"),IF(COUNTIFS(Results!$F$2:$F$482,$A18,Results!$A$2:$A$482,AJ$4,Results!$H$2:$H$482,"DNF")&gt;0,"DNF","•")))</f>
        <v>21</v>
      </c>
      <c r="AK18" s="20" t="str">
        <f aca="false">IF(COUNTIFS(Results!$F$2:$F$482,$A18,Results!$A$2:$A$482,AK$4)=0,"",IF(COUNTIFS(Results!$F$2:$F$482,$A18,Results!$A$2:$A$482,AK$4,Results!$G$2:$G$482,"&gt;0")&gt;0,_xlfn.MINIFS(Results!$G$2:$G$482,Results!$F$2:$F$482,$A18,Results!$A$2:$A$482,AK$4,Results!$G$2:$G$482,"&gt;0"),IF(COUNTIFS(Results!$F$2:$F$482,$A18,Results!$A$2:$A$482,AK$4,Results!$H$2:$H$482,"DNF")&gt;0,"DNF","•")))</f>
        <v/>
      </c>
      <c r="AL18" s="20" t="str">
        <f aca="false">IF(COUNTIFS(Results!$F$2:$F$482,$A18,Results!$A$2:$A$482,AL$4)=0,"",IF(COUNTIFS(Results!$F$2:$F$482,$A18,Results!$A$2:$A$482,AL$4,Results!$G$2:$G$482,"&gt;0")&gt;0,_xlfn.MINIFS(Results!$G$2:$G$482,Results!$F$2:$F$482,$A18,Results!$A$2:$A$482,AL$4,Results!$G$2:$G$482,"&gt;0"),IF(COUNTIFS(Results!$F$2:$F$482,$A18,Results!$A$2:$A$482,AL$4,Results!$H$2:$H$482,"DNF")&gt;0,"DNF","•")))</f>
        <v/>
      </c>
      <c r="AM18" s="20" t="str">
        <f aca="false">IF(COUNTIFS(Results!$F$2:$F$482,$A18,Results!$A$2:$A$482,AM$4)=0,"",IF(COUNTIFS(Results!$F$2:$F$482,$A18,Results!$A$2:$A$482,AM$4,Results!$G$2:$G$482,"&gt;0")&gt;0,_xlfn.MINIFS(Results!$G$2:$G$482,Results!$F$2:$F$482,$A18,Results!$A$2:$A$482,AM$4,Results!$G$2:$G$482,"&gt;0"),IF(COUNTIFS(Results!$F$2:$F$482,$A18,Results!$A$2:$A$482,AM$4,Results!$H$2:$H$482,"DNF")&gt;0,"DNF","•")))</f>
        <v/>
      </c>
      <c r="AN18" s="20" t="n">
        <f aca="false">IF(COUNTIFS(Results!$F$2:$F$482,$A18,Results!$A$2:$A$482,AN$4)=0,"",IF(COUNTIFS(Results!$F$2:$F$482,$A18,Results!$A$2:$A$482,AN$4,Results!$G$2:$G$482,"&gt;0")&gt;0,_xlfn.MINIFS(Results!$G$2:$G$482,Results!$F$2:$F$482,$A18,Results!$A$2:$A$482,AN$4,Results!$G$2:$G$482,"&gt;0"),IF(COUNTIFS(Results!$F$2:$F$482,$A18,Results!$A$2:$A$482,AN$4,Results!$H$2:$H$482,"DNF")&gt;0,"DNF","•")))</f>
        <v>33</v>
      </c>
      <c r="AO18" s="20" t="str">
        <f aca="false">IF(COUNTIFS(Results!$F$2:$F$482,$A18,Results!$A$2:$A$482,AO$4)=0,"",IF(COUNTIFS(Results!$F$2:$F$482,$A18,Results!$A$2:$A$482,AO$4,Results!$G$2:$G$482,"&gt;0")&gt;0,_xlfn.MINIFS(Results!$G$2:$G$482,Results!$F$2:$F$482,$A18,Results!$A$2:$A$482,AO$4,Results!$G$2:$G$482,"&gt;0"),IF(COUNTIFS(Results!$F$2:$F$482,$A18,Results!$A$2:$A$482,AO$4,Results!$H$2:$H$482,"DNF")&gt;0,"DNF","•")))</f>
        <v/>
      </c>
      <c r="AP18" s="20" t="str">
        <f aca="false">IF(COUNTIFS(Results!$F$2:$F$482,$A18,Results!$A$2:$A$482,AP$4)=0,"",IF(COUNTIFS(Results!$F$2:$F$482,$A18,Results!$A$2:$A$482,AP$4,Results!$G$2:$G$482,"&gt;0")&gt;0,_xlfn.MINIFS(Results!$G$2:$G$482,Results!$F$2:$F$482,$A18,Results!$A$2:$A$482,AP$4,Results!$G$2:$G$482,"&gt;0"),IF(COUNTIFS(Results!$F$2:$F$482,$A18,Results!$A$2:$A$482,AP$4,Results!$H$2:$H$482,"DNF")&gt;0,"DNF","•")))</f>
        <v/>
      </c>
      <c r="AQ18" s="20" t="str">
        <f aca="false">IF(COUNTIFS(Results!$F$2:$F$482,$A18,Results!$A$2:$A$482,AQ$4)=0,"",IF(COUNTIFS(Results!$F$2:$F$482,$A18,Results!$A$2:$A$482,AQ$4,Results!$G$2:$G$482,"&gt;0")&gt;0,_xlfn.MINIFS(Results!$G$2:$G$482,Results!$F$2:$F$482,$A18,Results!$A$2:$A$482,AQ$4,Results!$G$2:$G$482,"&gt;0"),IF(COUNTIFS(Results!$F$2:$F$482,$A18,Results!$A$2:$A$482,AQ$4,Results!$H$2:$H$482,"DNF")&gt;0,"DNF","•")))</f>
        <v/>
      </c>
      <c r="AR18" s="20" t="str">
        <f aca="false">IF(COUNTIFS(Results!$F$2:$F$482,$A18,Results!$A$2:$A$482,AR$4)=0,"",IF(COUNTIFS(Results!$F$2:$F$482,$A18,Results!$A$2:$A$482,AR$4,Results!$G$2:$G$482,"&gt;0")&gt;0,_xlfn.MINIFS(Results!$G$2:$G$482,Results!$F$2:$F$482,$A18,Results!$A$2:$A$482,AR$4,Results!$G$2:$G$482,"&gt;0"),IF(COUNTIFS(Results!$F$2:$F$482,$A18,Results!$A$2:$A$482,AR$4,Results!$H$2:$H$482,"DNF")&gt;0,"DNF","•")))</f>
        <v/>
      </c>
      <c r="AS18" s="20" t="str">
        <f aca="false">IF(COUNTIFS(Results!$F$2:$F$482,$A18,Results!$A$2:$A$482,AS$4)=0,"",IF(COUNTIFS(Results!$F$2:$F$482,$A18,Results!$A$2:$A$482,AS$4,Results!$G$2:$G$482,"&gt;0")&gt;0,_xlfn.MINIFS(Results!$G$2:$G$482,Results!$F$2:$F$482,$A18,Results!$A$2:$A$482,AS$4,Results!$G$2:$G$482,"&gt;0"),IF(COUNTIFS(Results!$F$2:$F$482,$A18,Results!$A$2:$A$482,AS$4,Results!$H$2:$H$482,"DNF")&gt;0,"DNF","•")))</f>
        <v/>
      </c>
      <c r="AT18" s="20" t="str">
        <f aca="false">IF(COUNTIFS(Results!$F$2:$F$482,$A18,Results!$A$2:$A$482,AT$4)=0,"",IF(COUNTIFS(Results!$F$2:$F$482,$A18,Results!$A$2:$A$482,AT$4,Results!$G$2:$G$482,"&gt;0")&gt;0,_xlfn.MINIFS(Results!$G$2:$G$482,Results!$F$2:$F$482,$A18,Results!$A$2:$A$482,AT$4,Results!$G$2:$G$482,"&gt;0"),IF(COUNTIFS(Results!$F$2:$F$482,$A18,Results!$A$2:$A$482,AT$4,Results!$H$2:$H$482,"DNF")&gt;0,"DNF","•")))</f>
        <v/>
      </c>
      <c r="AU18" s="20" t="n">
        <f aca="false">IF(COUNTIFS(Results!$F$2:$F$482,$A18,Results!$A$2:$A$482,AU$4)=0,"",IF(COUNTIFS(Results!$F$2:$F$482,$A18,Results!$A$2:$A$482,AU$4,Results!$G$2:$G$482,"&gt;0")&gt;0,_xlfn.MINIFS(Results!$G$2:$G$482,Results!$F$2:$F$482,$A18,Results!$A$2:$A$482,AU$4,Results!$G$2:$G$482,"&gt;0"),IF(COUNTIFS(Results!$F$2:$F$482,$A18,Results!$A$2:$A$482,AU$4,Results!$H$2:$H$482,"DNF")&gt;0,"DNF","•")))</f>
        <v>2</v>
      </c>
      <c r="AV18" s="20" t="str">
        <f aca="false">IF(COUNTIFS(Results!$F$2:$F$482,$A18,Results!$A$2:$A$482,AV$4)=0,"",IF(COUNTIFS(Results!$F$2:$F$482,$A18,Results!$A$2:$A$482,AV$4,Results!$G$2:$G$482,"&gt;0")&gt;0,_xlfn.MINIFS(Results!$G$2:$G$482,Results!$F$2:$F$482,$A18,Results!$A$2:$A$482,AV$4,Results!$G$2:$G$482,"&gt;0"),IF(COUNTIFS(Results!$F$2:$F$482,$A18,Results!$A$2:$A$482,AV$4,Results!$H$2:$H$482,"DNF")&gt;0,"DNF","•")))</f>
        <v/>
      </c>
      <c r="AW18" s="20" t="str">
        <f aca="false">IF(COUNTIFS(Results!$F$2:$F$482,$A18,Results!$A$2:$A$482,AW$4)=0,"",IF(COUNTIFS(Results!$F$2:$F$482,$A18,Results!$A$2:$A$482,AW$4,Results!$G$2:$G$482,"&gt;0")&gt;0,_xlfn.MINIFS(Results!$G$2:$G$482,Results!$F$2:$F$482,$A18,Results!$A$2:$A$482,AW$4,Results!$G$2:$G$482,"&gt;0"),IF(COUNTIFS(Results!$F$2:$F$482,$A18,Results!$A$2:$A$482,AW$4,Results!$H$2:$H$482,"DNF")&gt;0,"DNF","•")))</f>
        <v/>
      </c>
      <c r="AX18" s="20" t="str">
        <f aca="false">IF(COUNTIFS(Results!$F$2:$F$482,$A18,Results!$A$2:$A$482,AX$4)=0,"",IF(COUNTIFS(Results!$F$2:$F$482,$A18,Results!$A$2:$A$482,AX$4,Results!$G$2:$G$482,"&gt;0")&gt;0,_xlfn.MINIFS(Results!$G$2:$G$482,Results!$F$2:$F$482,$A18,Results!$A$2:$A$482,AX$4,Results!$G$2:$G$482,"&gt;0"),IF(COUNTIFS(Results!$F$2:$F$482,$A18,Results!$A$2:$A$482,AX$4,Results!$H$2:$H$482,"DNF")&gt;0,"DNF","•")))</f>
        <v/>
      </c>
      <c r="AY18" s="20" t="str">
        <f aca="false">IF(COUNTIFS(Results!$F$2:$F$482,$A18,Results!$A$2:$A$482,AY$4)=0,"",IF(COUNTIFS(Results!$F$2:$F$482,$A18,Results!$A$2:$A$482,AY$4,Results!$G$2:$G$482,"&gt;0")&gt;0,_xlfn.MINIFS(Results!$G$2:$G$482,Results!$F$2:$F$482,$A18,Results!$A$2:$A$482,AY$4,Results!$G$2:$G$482,"&gt;0"),IF(COUNTIFS(Results!$F$2:$F$482,$A18,Results!$A$2:$A$482,AY$4,Results!$H$2:$H$482,"DNF")&gt;0,"DNF","•")))</f>
        <v/>
      </c>
      <c r="AZ18" s="20" t="str">
        <f aca="false">IF(COUNTIFS(Results!$F$2:$F$482,$A18,Results!$A$2:$A$482,AZ$4)=0,"",IF(COUNTIFS(Results!$F$2:$F$482,$A18,Results!$A$2:$A$482,AZ$4,Results!$G$2:$G$482,"&gt;0")&gt;0,_xlfn.MINIFS(Results!$G$2:$G$482,Results!$F$2:$F$482,$A18,Results!$A$2:$A$482,AZ$4,Results!$G$2:$G$482,"&gt;0"),IF(COUNTIFS(Results!$F$2:$F$482,$A18,Results!$A$2:$A$482,AZ$4,Results!$H$2:$H$482,"DNF")&gt;0,"DNF","•")))</f>
        <v/>
      </c>
      <c r="BA18" s="20" t="str">
        <f aca="false">IF(COUNTIFS(Results!$F$2:$F$482,$A18,Results!$A$2:$A$482,BA$4)=0,"",IF(COUNTIFS(Results!$F$2:$F$482,$A18,Results!$A$2:$A$482,BA$4,Results!$G$2:$G$482,"&gt;0")&gt;0,_xlfn.MINIFS(Results!$G$2:$G$482,Results!$F$2:$F$482,$A18,Results!$A$2:$A$482,BA$4,Results!$G$2:$G$482,"&gt;0"),IF(COUNTIFS(Results!$F$2:$F$482,$A18,Results!$A$2:$A$482,BA$4,Results!$H$2:$H$482,"DNF")&gt;0,"DNF","•")))</f>
        <v/>
      </c>
      <c r="BB18" s="20" t="str">
        <f aca="false">IF(COUNTIFS(Results!$F$2:$F$482,$A18,Results!$A$2:$A$482,BB$4)=0,"",IF(COUNTIFS(Results!$F$2:$F$482,$A18,Results!$A$2:$A$482,BB$4,Results!$G$2:$G$482,"&gt;0")&gt;0,_xlfn.MINIFS(Results!$G$2:$G$482,Results!$F$2:$F$482,$A18,Results!$A$2:$A$482,BB$4,Results!$G$2:$G$482,"&gt;0"),IF(COUNTIFS(Results!$F$2:$F$482,$A18,Results!$A$2:$A$482,BB$4,Results!$H$2:$H$482,"DNF")&gt;0,"DNF","•")))</f>
        <v/>
      </c>
      <c r="BC18" s="20" t="str">
        <f aca="false">IF(COUNTIFS(Results!$F$2:$F$482,$A18,Results!$A$2:$A$482,BC$4)=0,"",IF(COUNTIFS(Results!$F$2:$F$482,$A18,Results!$A$2:$A$482,BC$4,Results!$G$2:$G$482,"&gt;0")&gt;0,_xlfn.MINIFS(Results!$G$2:$G$482,Results!$F$2:$F$482,$A18,Results!$A$2:$A$482,BC$4,Results!$G$2:$G$482,"&gt;0"),IF(COUNTIFS(Results!$F$2:$F$482,$A18,Results!$A$2:$A$482,BC$4,Results!$H$2:$H$482,"DNF")&gt;0,"DNF","•")))</f>
        <v/>
      </c>
      <c r="BD18" s="20" t="str">
        <f aca="false">IF(COUNTIFS(Results!$F$2:$F$482,$A18,Results!$A$2:$A$482,BD$4)=0,"",IF(COUNTIFS(Results!$F$2:$F$482,$A18,Results!$A$2:$A$482,BD$4,Results!$G$2:$G$482,"&gt;0")&gt;0,_xlfn.MINIFS(Results!$G$2:$G$482,Results!$F$2:$F$482,$A18,Results!$A$2:$A$482,BD$4,Results!$G$2:$G$482,"&gt;0"),IF(COUNTIFS(Results!$F$2:$F$482,$A18,Results!$A$2:$A$482,BD$4,Results!$H$2:$H$482,"DNF")&gt;0,"DNF","•")))</f>
        <v/>
      </c>
      <c r="BE18" s="20" t="n">
        <f aca="false">IF(COUNTIFS(Results!$F$2:$F$482,$A18,Results!$A$2:$A$482,BE$4)=0,"",IF(COUNTIFS(Results!$F$2:$F$482,$A18,Results!$A$2:$A$482,BE$4,Results!$G$2:$G$482,"&gt;0")&gt;0,_xlfn.MINIFS(Results!$G$2:$G$482,Results!$F$2:$F$482,$A18,Results!$A$2:$A$482,BE$4,Results!$G$2:$G$482,"&gt;0"),IF(COUNTIFS(Results!$F$2:$F$482,$A18,Results!$A$2:$A$482,BE$4,Results!$H$2:$H$482,"DNF")&gt;0,"DNF","•")))</f>
        <v>2</v>
      </c>
      <c r="BF18" s="20" t="str">
        <f aca="false">IF(COUNTIFS(Results!$F$2:$F$482,$A18,Results!$A$2:$A$482,BF$4)=0,"",IF(COUNTIFS(Results!$F$2:$F$482,$A18,Results!$A$2:$A$482,BF$4,Results!$G$2:$G$482,"&gt;0")&gt;0,_xlfn.MINIFS(Results!$G$2:$G$482,Results!$F$2:$F$482,$A18,Results!$A$2:$A$482,BF$4,Results!$G$2:$G$482,"&gt;0"),IF(COUNTIFS(Results!$F$2:$F$482,$A18,Results!$A$2:$A$482,BF$4,Results!$H$2:$H$482,"DNF")&gt;0,"DNF","•")))</f>
        <v/>
      </c>
      <c r="BG18" s="20" t="str">
        <f aca="false">IF(COUNTIFS(Results!$F$2:$F$482,$A18,Results!$A$2:$A$482,BG$4)=0,"",IF(COUNTIFS(Results!$F$2:$F$482,$A18,Results!$A$2:$A$482,BG$4,Results!$G$2:$G$482,"&gt;0")&gt;0,_xlfn.MINIFS(Results!$G$2:$G$482,Results!$F$2:$F$482,$A18,Results!$A$2:$A$482,BG$4,Results!$G$2:$G$482,"&gt;0"),IF(COUNTIFS(Results!$F$2:$F$482,$A18,Results!$A$2:$A$482,BG$4,Results!$H$2:$H$482,"DNF")&gt;0,"DNF","•")))</f>
        <v/>
      </c>
      <c r="BH18" s="20" t="str">
        <f aca="false">IF(COUNTIFS(Results!$F$2:$F$482,$A18,Results!$A$2:$A$482,BH$4)=0,"",IF(COUNTIFS(Results!$F$2:$F$482,$A18,Results!$A$2:$A$482,BH$4,Results!$G$2:$G$482,"&gt;0")&gt;0,_xlfn.MINIFS(Results!$G$2:$G$482,Results!$F$2:$F$482,$A18,Results!$A$2:$A$482,BH$4,Results!$G$2:$G$482,"&gt;0"),IF(COUNTIFS(Results!$F$2:$F$482,$A18,Results!$A$2:$A$482,BH$4,Results!$H$2:$H$482,"DNF")&gt;0,"DNF","•")))</f>
        <v/>
      </c>
      <c r="BI18" s="20" t="str">
        <f aca="false">IF(COUNTIFS(Results!$F$2:$F$482,$A18,Results!$A$2:$A$482,BI$4)=0,"",IF(COUNTIFS(Results!$F$2:$F$482,$A18,Results!$A$2:$A$482,BI$4,Results!$G$2:$G$482,"&gt;0")&gt;0,_xlfn.MINIFS(Results!$G$2:$G$482,Results!$F$2:$F$482,$A18,Results!$A$2:$A$482,BI$4,Results!$G$2:$G$482,"&gt;0"),IF(COUNTIFS(Results!$F$2:$F$482,$A18,Results!$A$2:$A$482,BI$4,Results!$H$2:$H$482,"DNF")&gt;0,"DNF","•")))</f>
        <v/>
      </c>
      <c r="BJ18" s="20" t="str">
        <f aca="false">IF(COUNTIFS(Results!$F$2:$F$482,$A18,Results!$A$2:$A$482,BJ$4)=0,"",IF(COUNTIFS(Results!$F$2:$F$482,$A18,Results!$A$2:$A$482,BJ$4,Results!$G$2:$G$482,"&gt;0")&gt;0,_xlfn.MINIFS(Results!$G$2:$G$482,Results!$F$2:$F$482,$A18,Results!$A$2:$A$482,BJ$4,Results!$G$2:$G$482,"&gt;0"),IF(COUNTIFS(Results!$F$2:$F$482,$A18,Results!$A$2:$A$482,BJ$4,Results!$H$2:$H$482,"DNF")&gt;0,"DNF","•")))</f>
        <v/>
      </c>
      <c r="BK18" s="20" t="str">
        <f aca="false">IF(COUNTIFS(Results!$F$2:$F$482,$A18,Results!$A$2:$A$482,BK$4)=0,"",IF(COUNTIFS(Results!$F$2:$F$482,$A18,Results!$A$2:$A$482,BK$4,Results!$G$2:$G$482,"&gt;0")&gt;0,_xlfn.MINIFS(Results!$G$2:$G$482,Results!$F$2:$F$482,$A18,Results!$A$2:$A$482,BK$4,Results!$G$2:$G$482,"&gt;0"),IF(COUNTIFS(Results!$F$2:$F$482,$A18,Results!$A$2:$A$482,BK$4,Results!$H$2:$H$482,"DNF")&gt;0,"DNF","•")))</f>
        <v/>
      </c>
      <c r="BL18" s="20" t="str">
        <f aca="false">IF(COUNTIFS(Results!$F$2:$F$482,$A18,Results!$A$2:$A$482,BL$4)=0,"",IF(COUNTIFS(Results!$F$2:$F$482,$A18,Results!$A$2:$A$482,BL$4,Results!$G$2:$G$482,"&gt;0")&gt;0,_xlfn.MINIFS(Results!$G$2:$G$482,Results!$F$2:$F$482,$A18,Results!$A$2:$A$482,BL$4,Results!$G$2:$G$482,"&gt;0"),IF(COUNTIFS(Results!$F$2:$F$482,$A18,Results!$A$2:$A$482,BL$4,Results!$H$2:$H$482,"DNF")&gt;0,"DNF","•")))</f>
        <v/>
      </c>
    </row>
    <row r="19" customFormat="false" ht="15" hidden="false" customHeight="false" outlineLevel="0" collapsed="false">
      <c r="A19" s="7" t="str">
        <f aca="false">Riders!A17</f>
        <v>Linda Sitková</v>
      </c>
      <c r="B19" s="20" t="str">
        <f aca="false">IF(COUNTIFS(Results!$F$2:$F$482,$A19,Results!$A$2:$A$482,B$4)=0,"",IF(COUNTIFS(Results!$F$2:$F$482,$A19,Results!$A$2:$A$482,B$4,Results!$G$2:$G$482,"&gt;0")&gt;0,_xlfn.MINIFS(Results!$G$2:$G$482,Results!$F$2:$F$482,$A19,Results!$A$2:$A$482,B$4,Results!$G$2:$G$482,"&gt;0"),IF(COUNTIFS(Results!$F$2:$F$482,$A19,Results!$A$2:$A$482,B$4,Results!$H$2:$H$482,"DNF")&gt;0,"DNF","•")))</f>
        <v/>
      </c>
      <c r="C19" s="20" t="str">
        <f aca="false">IF(COUNTIFS(Results!$F$2:$F$482,$A19,Results!$A$2:$A$482,C$4)=0,"",IF(COUNTIFS(Results!$F$2:$F$482,$A19,Results!$A$2:$A$482,C$4,Results!$G$2:$G$482,"&gt;0")&gt;0,_xlfn.MINIFS(Results!$G$2:$G$482,Results!$F$2:$F$482,$A19,Results!$A$2:$A$482,C$4,Results!$G$2:$G$482,"&gt;0"),IF(COUNTIFS(Results!$F$2:$F$482,$A19,Results!$A$2:$A$482,C$4,Results!$H$2:$H$482,"DNF")&gt;0,"DNF","•")))</f>
        <v/>
      </c>
      <c r="D19" s="20" t="str">
        <f aca="false">IF(COUNTIFS(Results!$F$2:$F$482,$A19,Results!$A$2:$A$482,D$4)=0,"",IF(COUNTIFS(Results!$F$2:$F$482,$A19,Results!$A$2:$A$482,D$4,Results!$G$2:$G$482,"&gt;0")&gt;0,_xlfn.MINIFS(Results!$G$2:$G$482,Results!$F$2:$F$482,$A19,Results!$A$2:$A$482,D$4,Results!$G$2:$G$482,"&gt;0"),IF(COUNTIFS(Results!$F$2:$F$482,$A19,Results!$A$2:$A$482,D$4,Results!$H$2:$H$482,"DNF")&gt;0,"DNF","•")))</f>
        <v/>
      </c>
      <c r="E19" s="20" t="str">
        <f aca="false">IF(COUNTIFS(Results!$F$2:$F$482,$A19,Results!$A$2:$A$482,E$4)=0,"",IF(COUNTIFS(Results!$F$2:$F$482,$A19,Results!$A$2:$A$482,E$4,Results!$G$2:$G$482,"&gt;0")&gt;0,_xlfn.MINIFS(Results!$G$2:$G$482,Results!$F$2:$F$482,$A19,Results!$A$2:$A$482,E$4,Results!$G$2:$G$482,"&gt;0"),IF(COUNTIFS(Results!$F$2:$F$482,$A19,Results!$A$2:$A$482,E$4,Results!$H$2:$H$482,"DNF")&gt;0,"DNF","•")))</f>
        <v/>
      </c>
      <c r="F19" s="20" t="str">
        <f aca="false">IF(COUNTIFS(Results!$F$2:$F$482,$A19,Results!$A$2:$A$482,F$4)=0,"",IF(COUNTIFS(Results!$F$2:$F$482,$A19,Results!$A$2:$A$482,F$4,Results!$G$2:$G$482,"&gt;0")&gt;0,_xlfn.MINIFS(Results!$G$2:$G$482,Results!$F$2:$F$482,$A19,Results!$A$2:$A$482,F$4,Results!$G$2:$G$482,"&gt;0"),IF(COUNTIFS(Results!$F$2:$F$482,$A19,Results!$A$2:$A$482,F$4,Results!$H$2:$H$482,"DNF")&gt;0,"DNF","•")))</f>
        <v/>
      </c>
      <c r="G19" s="20" t="str">
        <f aca="false">IF(COUNTIFS(Results!$F$2:$F$482,$A19,Results!$A$2:$A$482,G$4)=0,"",IF(COUNTIFS(Results!$F$2:$F$482,$A19,Results!$A$2:$A$482,G$4,Results!$G$2:$G$482,"&gt;0")&gt;0,_xlfn.MINIFS(Results!$G$2:$G$482,Results!$F$2:$F$482,$A19,Results!$A$2:$A$482,G$4,Results!$G$2:$G$482,"&gt;0"),IF(COUNTIFS(Results!$F$2:$F$482,$A19,Results!$A$2:$A$482,G$4,Results!$H$2:$H$482,"DNF")&gt;0,"DNF","•")))</f>
        <v/>
      </c>
      <c r="H19" s="20" t="n">
        <f aca="false">IF(COUNTIFS(Results!$F$2:$F$482,$A19,Results!$A$2:$A$482,H$4)=0,"",IF(COUNTIFS(Results!$F$2:$F$482,$A19,Results!$A$2:$A$482,H$4,Results!$G$2:$G$482,"&gt;0")&gt;0,_xlfn.MINIFS(Results!$G$2:$G$482,Results!$F$2:$F$482,$A19,Results!$A$2:$A$482,H$4,Results!$G$2:$G$482,"&gt;0"),IF(COUNTIFS(Results!$F$2:$F$482,$A19,Results!$A$2:$A$482,H$4,Results!$H$2:$H$482,"DNF")&gt;0,"DNF","•")))</f>
        <v>50</v>
      </c>
      <c r="I19" s="20" t="str">
        <f aca="false">IF(COUNTIFS(Results!$F$2:$F$482,$A19,Results!$A$2:$A$482,I$4)=0,"",IF(COUNTIFS(Results!$F$2:$F$482,$A19,Results!$A$2:$A$482,I$4,Results!$G$2:$G$482,"&gt;0")&gt;0,_xlfn.MINIFS(Results!$G$2:$G$482,Results!$F$2:$F$482,$A19,Results!$A$2:$A$482,I$4,Results!$G$2:$G$482,"&gt;0"),IF(COUNTIFS(Results!$F$2:$F$482,$A19,Results!$A$2:$A$482,I$4,Results!$H$2:$H$482,"DNF")&gt;0,"DNF","•")))</f>
        <v/>
      </c>
      <c r="J19" s="20" t="str">
        <f aca="false">IF(COUNTIFS(Results!$F$2:$F$482,$A19,Results!$A$2:$A$482,J$4)=0,"",IF(COUNTIFS(Results!$F$2:$F$482,$A19,Results!$A$2:$A$482,J$4,Results!$G$2:$G$482,"&gt;0")&gt;0,_xlfn.MINIFS(Results!$G$2:$G$482,Results!$F$2:$F$482,$A19,Results!$A$2:$A$482,J$4,Results!$G$2:$G$482,"&gt;0"),IF(COUNTIFS(Results!$F$2:$F$482,$A19,Results!$A$2:$A$482,J$4,Results!$H$2:$H$482,"DNF")&gt;0,"DNF","•")))</f>
        <v/>
      </c>
      <c r="K19" s="20" t="str">
        <f aca="false">IF(COUNTIFS(Results!$F$2:$F$482,$A19,Results!$A$2:$A$482,K$4)=0,"",IF(COUNTIFS(Results!$F$2:$F$482,$A19,Results!$A$2:$A$482,K$4,Results!$G$2:$G$482,"&gt;0")&gt;0,_xlfn.MINIFS(Results!$G$2:$G$482,Results!$F$2:$F$482,$A19,Results!$A$2:$A$482,K$4,Results!$G$2:$G$482,"&gt;0"),IF(COUNTIFS(Results!$F$2:$F$482,$A19,Results!$A$2:$A$482,K$4,Results!$H$2:$H$482,"DNF")&gt;0,"DNF","•")))</f>
        <v/>
      </c>
      <c r="L19" s="20" t="str">
        <f aca="false">IF(COUNTIFS(Results!$F$2:$F$482,$A19,Results!$A$2:$A$482,L$4)=0,"",IF(COUNTIFS(Results!$F$2:$F$482,$A19,Results!$A$2:$A$482,L$4,Results!$G$2:$G$482,"&gt;0")&gt;0,_xlfn.MINIFS(Results!$G$2:$G$482,Results!$F$2:$F$482,$A19,Results!$A$2:$A$482,L$4,Results!$G$2:$G$482,"&gt;0"),IF(COUNTIFS(Results!$F$2:$F$482,$A19,Results!$A$2:$A$482,L$4,Results!$H$2:$H$482,"DNF")&gt;0,"DNF","•")))</f>
        <v/>
      </c>
      <c r="M19" s="20" t="str">
        <f aca="false">IF(COUNTIFS(Results!$F$2:$F$482,$A19,Results!$A$2:$A$482,M$4)=0,"",IF(COUNTIFS(Results!$F$2:$F$482,$A19,Results!$A$2:$A$482,M$4,Results!$G$2:$G$482,"&gt;0")&gt;0,_xlfn.MINIFS(Results!$G$2:$G$482,Results!$F$2:$F$482,$A19,Results!$A$2:$A$482,M$4,Results!$G$2:$G$482,"&gt;0"),IF(COUNTIFS(Results!$F$2:$F$482,$A19,Results!$A$2:$A$482,M$4,Results!$H$2:$H$482,"DNF")&gt;0,"DNF","•")))</f>
        <v/>
      </c>
      <c r="N19" s="20" t="str">
        <f aca="false">IF(COUNTIFS(Results!$F$2:$F$482,$A19,Results!$A$2:$A$482,N$4)=0,"",IF(COUNTIFS(Results!$F$2:$F$482,$A19,Results!$A$2:$A$482,N$4,Results!$G$2:$G$482,"&gt;0")&gt;0,_xlfn.MINIFS(Results!$G$2:$G$482,Results!$F$2:$F$482,$A19,Results!$A$2:$A$482,N$4,Results!$G$2:$G$482,"&gt;0"),IF(COUNTIFS(Results!$F$2:$F$482,$A19,Results!$A$2:$A$482,N$4,Results!$H$2:$H$482,"DNF")&gt;0,"DNF","•")))</f>
        <v/>
      </c>
      <c r="O19" s="20" t="str">
        <f aca="false">IF(COUNTIFS(Results!$F$2:$F$482,$A19,Results!$A$2:$A$482,O$4)=0,"",IF(COUNTIFS(Results!$F$2:$F$482,$A19,Results!$A$2:$A$482,O$4,Results!$G$2:$G$482,"&gt;0")&gt;0,_xlfn.MINIFS(Results!$G$2:$G$482,Results!$F$2:$F$482,$A19,Results!$A$2:$A$482,O$4,Results!$G$2:$G$482,"&gt;0"),IF(COUNTIFS(Results!$F$2:$F$482,$A19,Results!$A$2:$A$482,O$4,Results!$H$2:$H$482,"DNF")&gt;0,"DNF","•")))</f>
        <v/>
      </c>
      <c r="P19" s="20" t="str">
        <f aca="false">IF(COUNTIFS(Results!$F$2:$F$482,$A19,Results!$A$2:$A$482,P$4)=0,"",IF(COUNTIFS(Results!$F$2:$F$482,$A19,Results!$A$2:$A$482,P$4,Results!$G$2:$G$482,"&gt;0")&gt;0,_xlfn.MINIFS(Results!$G$2:$G$482,Results!$F$2:$F$482,$A19,Results!$A$2:$A$482,P$4,Results!$G$2:$G$482,"&gt;0"),IF(COUNTIFS(Results!$F$2:$F$482,$A19,Results!$A$2:$A$482,P$4,Results!$H$2:$H$482,"DNF")&gt;0,"DNF","•")))</f>
        <v/>
      </c>
      <c r="Q19" s="20" t="str">
        <f aca="false">IF(COUNTIFS(Results!$F$2:$F$482,$A19,Results!$A$2:$A$482,Q$4)=0,"",IF(COUNTIFS(Results!$F$2:$F$482,$A19,Results!$A$2:$A$482,Q$4,Results!$G$2:$G$482,"&gt;0")&gt;0,_xlfn.MINIFS(Results!$G$2:$G$482,Results!$F$2:$F$482,$A19,Results!$A$2:$A$482,Q$4,Results!$G$2:$G$482,"&gt;0"),IF(COUNTIFS(Results!$F$2:$F$482,$A19,Results!$A$2:$A$482,Q$4,Results!$H$2:$H$482,"DNF")&gt;0,"DNF","•")))</f>
        <v/>
      </c>
      <c r="R19" s="20" t="n">
        <f aca="false">IF(COUNTIFS(Results!$F$2:$F$482,$A19,Results!$A$2:$A$482,R$4)=0,"",IF(COUNTIFS(Results!$F$2:$F$482,$A19,Results!$A$2:$A$482,R$4,Results!$G$2:$G$482,"&gt;0")&gt;0,_xlfn.MINIFS(Results!$G$2:$G$482,Results!$F$2:$F$482,$A19,Results!$A$2:$A$482,R$4,Results!$G$2:$G$482,"&gt;0"),IF(COUNTIFS(Results!$F$2:$F$482,$A19,Results!$A$2:$A$482,R$4,Results!$H$2:$H$482,"DNF")&gt;0,"DNF","•")))</f>
        <v>15</v>
      </c>
      <c r="S19" s="20" t="str">
        <f aca="false">IF(COUNTIFS(Results!$F$2:$F$482,$A19,Results!$A$2:$A$482,S$4)=0,"",IF(COUNTIFS(Results!$F$2:$F$482,$A19,Results!$A$2:$A$482,S$4,Results!$G$2:$G$482,"&gt;0")&gt;0,_xlfn.MINIFS(Results!$G$2:$G$482,Results!$F$2:$F$482,$A19,Results!$A$2:$A$482,S$4,Results!$G$2:$G$482,"&gt;0"),IF(COUNTIFS(Results!$F$2:$F$482,$A19,Results!$A$2:$A$482,S$4,Results!$H$2:$H$482,"DNF")&gt;0,"DNF","•")))</f>
        <v/>
      </c>
      <c r="T19" s="20" t="str">
        <f aca="false">IF(COUNTIFS(Results!$F$2:$F$482,$A19,Results!$A$2:$A$482,T$4)=0,"",IF(COUNTIFS(Results!$F$2:$F$482,$A19,Results!$A$2:$A$482,T$4,Results!$G$2:$G$482,"&gt;0")&gt;0,_xlfn.MINIFS(Results!$G$2:$G$482,Results!$F$2:$F$482,$A19,Results!$A$2:$A$482,T$4,Results!$G$2:$G$482,"&gt;0"),IF(COUNTIFS(Results!$F$2:$F$482,$A19,Results!$A$2:$A$482,T$4,Results!$H$2:$H$482,"DNF")&gt;0,"DNF","•")))</f>
        <v/>
      </c>
      <c r="U19" s="20" t="str">
        <f aca="false">IF(COUNTIFS(Results!$F$2:$F$482,$A19,Results!$A$2:$A$482,U$4)=0,"",IF(COUNTIFS(Results!$F$2:$F$482,$A19,Results!$A$2:$A$482,U$4,Results!$G$2:$G$482,"&gt;0")&gt;0,_xlfn.MINIFS(Results!$G$2:$G$482,Results!$F$2:$F$482,$A19,Results!$A$2:$A$482,U$4,Results!$G$2:$G$482,"&gt;0"),IF(COUNTIFS(Results!$F$2:$F$482,$A19,Results!$A$2:$A$482,U$4,Results!$H$2:$H$482,"DNF")&gt;0,"DNF","•")))</f>
        <v/>
      </c>
      <c r="V19" s="20" t="str">
        <f aca="false">IF(COUNTIFS(Results!$F$2:$F$482,$A19,Results!$A$2:$A$482,V$4)=0,"",IF(COUNTIFS(Results!$F$2:$F$482,$A19,Results!$A$2:$A$482,V$4,Results!$G$2:$G$482,"&gt;0")&gt;0,_xlfn.MINIFS(Results!$G$2:$G$482,Results!$F$2:$F$482,$A19,Results!$A$2:$A$482,V$4,Results!$G$2:$G$482,"&gt;0"),IF(COUNTIFS(Results!$F$2:$F$482,$A19,Results!$A$2:$A$482,V$4,Results!$H$2:$H$482,"DNF")&gt;0,"DNF","•")))</f>
        <v/>
      </c>
      <c r="W19" s="20" t="str">
        <f aca="false">IF(COUNTIFS(Results!$F$2:$F$482,$A19,Results!$A$2:$A$482,W$4)=0,"",IF(COUNTIFS(Results!$F$2:$F$482,$A19,Results!$A$2:$A$482,W$4,Results!$G$2:$G$482,"&gt;0")&gt;0,_xlfn.MINIFS(Results!$G$2:$G$482,Results!$F$2:$F$482,$A19,Results!$A$2:$A$482,W$4,Results!$G$2:$G$482,"&gt;0"),IF(COUNTIFS(Results!$F$2:$F$482,$A19,Results!$A$2:$A$482,W$4,Results!$H$2:$H$482,"DNF")&gt;0,"DNF","•")))</f>
        <v/>
      </c>
      <c r="X19" s="20" t="str">
        <f aca="false">IF(COUNTIFS(Results!$F$2:$F$482,$A19,Results!$A$2:$A$482,X$4)=0,"",IF(COUNTIFS(Results!$F$2:$F$482,$A19,Results!$A$2:$A$482,X$4,Results!$G$2:$G$482,"&gt;0")&gt;0,_xlfn.MINIFS(Results!$G$2:$G$482,Results!$F$2:$F$482,$A19,Results!$A$2:$A$482,X$4,Results!$G$2:$G$482,"&gt;0"),IF(COUNTIFS(Results!$F$2:$F$482,$A19,Results!$A$2:$A$482,X$4,Results!$H$2:$H$482,"DNF")&gt;0,"DNF","•")))</f>
        <v/>
      </c>
      <c r="Y19" s="20" t="str">
        <f aca="false">IF(COUNTIFS(Results!$F$2:$F$482,$A19,Results!$A$2:$A$482,Y$4)=0,"",IF(COUNTIFS(Results!$F$2:$F$482,$A19,Results!$A$2:$A$482,Y$4,Results!$G$2:$G$482,"&gt;0")&gt;0,_xlfn.MINIFS(Results!$G$2:$G$482,Results!$F$2:$F$482,$A19,Results!$A$2:$A$482,Y$4,Results!$G$2:$G$482,"&gt;0"),IF(COUNTIFS(Results!$F$2:$F$482,$A19,Results!$A$2:$A$482,Y$4,Results!$H$2:$H$482,"DNF")&gt;0,"DNF","•")))</f>
        <v/>
      </c>
      <c r="Z19" s="20" t="str">
        <f aca="false">IF(COUNTIFS(Results!$F$2:$F$482,$A19,Results!$A$2:$A$482,Z$4)=0,"",IF(COUNTIFS(Results!$F$2:$F$482,$A19,Results!$A$2:$A$482,Z$4,Results!$G$2:$G$482,"&gt;0")&gt;0,_xlfn.MINIFS(Results!$G$2:$G$482,Results!$F$2:$F$482,$A19,Results!$A$2:$A$482,Z$4,Results!$G$2:$G$482,"&gt;0"),IF(COUNTIFS(Results!$F$2:$F$482,$A19,Results!$A$2:$A$482,Z$4,Results!$H$2:$H$482,"DNF")&gt;0,"DNF","•")))</f>
        <v/>
      </c>
      <c r="AA19" s="20" t="n">
        <f aca="false">IF(COUNTIFS(Results!$F$2:$F$482,$A19,Results!$A$2:$A$482,AA$4)=0,"",IF(COUNTIFS(Results!$F$2:$F$482,$A19,Results!$A$2:$A$482,AA$4,Results!$G$2:$G$482,"&gt;0")&gt;0,_xlfn.MINIFS(Results!$G$2:$G$482,Results!$F$2:$F$482,$A19,Results!$A$2:$A$482,AA$4,Results!$G$2:$G$482,"&gt;0"),IF(COUNTIFS(Results!$F$2:$F$482,$A19,Results!$A$2:$A$482,AA$4,Results!$H$2:$H$482,"DNF")&gt;0,"DNF","•")))</f>
        <v>1</v>
      </c>
      <c r="AB19" s="20" t="str">
        <f aca="false">IF(COUNTIFS(Results!$F$2:$F$482,$A19,Results!$A$2:$A$482,AB$4)=0,"",IF(COUNTIFS(Results!$F$2:$F$482,$A19,Results!$A$2:$A$482,AB$4,Results!$G$2:$G$482,"&gt;0")&gt;0,_xlfn.MINIFS(Results!$G$2:$G$482,Results!$F$2:$F$482,$A19,Results!$A$2:$A$482,AB$4,Results!$G$2:$G$482,"&gt;0"),IF(COUNTIFS(Results!$F$2:$F$482,$A19,Results!$A$2:$A$482,AB$4,Results!$H$2:$H$482,"DNF")&gt;0,"DNF","•")))</f>
        <v/>
      </c>
      <c r="AC19" s="20" t="n">
        <f aca="false">IF(COUNTIFS(Results!$F$2:$F$482,$A19,Results!$A$2:$A$482,AC$4)=0,"",IF(COUNTIFS(Results!$F$2:$F$482,$A19,Results!$A$2:$A$482,AC$4,Results!$G$2:$G$482,"&gt;0")&gt;0,_xlfn.MINIFS(Results!$G$2:$G$482,Results!$F$2:$F$482,$A19,Results!$A$2:$A$482,AC$4,Results!$G$2:$G$482,"&gt;0"),IF(COUNTIFS(Results!$F$2:$F$482,$A19,Results!$A$2:$A$482,AC$4,Results!$H$2:$H$482,"DNF")&gt;0,"DNF","•")))</f>
        <v>1</v>
      </c>
      <c r="AD19" s="20" t="str">
        <f aca="false">IF(COUNTIFS(Results!$F$2:$F$482,$A19,Results!$A$2:$A$482,AD$4)=0,"",IF(COUNTIFS(Results!$F$2:$F$482,$A19,Results!$A$2:$A$482,AD$4,Results!$G$2:$G$482,"&gt;0")&gt;0,_xlfn.MINIFS(Results!$G$2:$G$482,Results!$F$2:$F$482,$A19,Results!$A$2:$A$482,AD$4,Results!$G$2:$G$482,"&gt;0"),IF(COUNTIFS(Results!$F$2:$F$482,$A19,Results!$A$2:$A$482,AD$4,Results!$H$2:$H$482,"DNF")&gt;0,"DNF","•")))</f>
        <v/>
      </c>
      <c r="AE19" s="20" t="str">
        <f aca="false">IF(COUNTIFS(Results!$F$2:$F$482,$A19,Results!$A$2:$A$482,AE$4)=0,"",IF(COUNTIFS(Results!$F$2:$F$482,$A19,Results!$A$2:$A$482,AE$4,Results!$G$2:$G$482,"&gt;0")&gt;0,_xlfn.MINIFS(Results!$G$2:$G$482,Results!$F$2:$F$482,$A19,Results!$A$2:$A$482,AE$4,Results!$G$2:$G$482,"&gt;0"),IF(COUNTIFS(Results!$F$2:$F$482,$A19,Results!$A$2:$A$482,AE$4,Results!$H$2:$H$482,"DNF")&gt;0,"DNF","•")))</f>
        <v/>
      </c>
      <c r="AF19" s="20" t="str">
        <f aca="false">IF(COUNTIFS(Results!$F$2:$F$482,$A19,Results!$A$2:$A$482,AF$4)=0,"",IF(COUNTIFS(Results!$F$2:$F$482,$A19,Results!$A$2:$A$482,AF$4,Results!$G$2:$G$482,"&gt;0")&gt;0,_xlfn.MINIFS(Results!$G$2:$G$482,Results!$F$2:$F$482,$A19,Results!$A$2:$A$482,AF$4,Results!$G$2:$G$482,"&gt;0"),IF(COUNTIFS(Results!$F$2:$F$482,$A19,Results!$A$2:$A$482,AF$4,Results!$H$2:$H$482,"DNF")&gt;0,"DNF","•")))</f>
        <v/>
      </c>
      <c r="AG19" s="20" t="str">
        <f aca="false">IF(COUNTIFS(Results!$F$2:$F$482,$A19,Results!$A$2:$A$482,AG$4)=0,"",IF(COUNTIFS(Results!$F$2:$F$482,$A19,Results!$A$2:$A$482,AG$4,Results!$G$2:$G$482,"&gt;0")&gt;0,_xlfn.MINIFS(Results!$G$2:$G$482,Results!$F$2:$F$482,$A19,Results!$A$2:$A$482,AG$4,Results!$G$2:$G$482,"&gt;0"),IF(COUNTIFS(Results!$F$2:$F$482,$A19,Results!$A$2:$A$482,AG$4,Results!$H$2:$H$482,"DNF")&gt;0,"DNF","•")))</f>
        <v/>
      </c>
      <c r="AH19" s="20" t="str">
        <f aca="false">IF(COUNTIFS(Results!$F$2:$F$482,$A19,Results!$A$2:$A$482,AH$4)=0,"",IF(COUNTIFS(Results!$F$2:$F$482,$A19,Results!$A$2:$A$482,AH$4,Results!$G$2:$G$482,"&gt;0")&gt;0,_xlfn.MINIFS(Results!$G$2:$G$482,Results!$F$2:$F$482,$A19,Results!$A$2:$A$482,AH$4,Results!$G$2:$G$482,"&gt;0"),IF(COUNTIFS(Results!$F$2:$F$482,$A19,Results!$A$2:$A$482,AH$4,Results!$H$2:$H$482,"DNF")&gt;0,"DNF","•")))</f>
        <v/>
      </c>
      <c r="AI19" s="20" t="str">
        <f aca="false">IF(COUNTIFS(Results!$F$2:$F$482,$A19,Results!$A$2:$A$482,AI$4)=0,"",IF(COUNTIFS(Results!$F$2:$F$482,$A19,Results!$A$2:$A$482,AI$4,Results!$G$2:$G$482,"&gt;0")&gt;0,_xlfn.MINIFS(Results!$G$2:$G$482,Results!$F$2:$F$482,$A19,Results!$A$2:$A$482,AI$4,Results!$G$2:$G$482,"&gt;0"),IF(COUNTIFS(Results!$F$2:$F$482,$A19,Results!$A$2:$A$482,AI$4,Results!$H$2:$H$482,"DNF")&gt;0,"DNF","•")))</f>
        <v/>
      </c>
      <c r="AJ19" s="20" t="str">
        <f aca="false">IF(COUNTIFS(Results!$F$2:$F$482,$A19,Results!$A$2:$A$482,AJ$4)=0,"",IF(COUNTIFS(Results!$F$2:$F$482,$A19,Results!$A$2:$A$482,AJ$4,Results!$G$2:$G$482,"&gt;0")&gt;0,_xlfn.MINIFS(Results!$G$2:$G$482,Results!$F$2:$F$482,$A19,Results!$A$2:$A$482,AJ$4,Results!$G$2:$G$482,"&gt;0"),IF(COUNTIFS(Results!$F$2:$F$482,$A19,Results!$A$2:$A$482,AJ$4,Results!$H$2:$H$482,"DNF")&gt;0,"DNF","•")))</f>
        <v/>
      </c>
      <c r="AK19" s="20" t="str">
        <f aca="false">IF(COUNTIFS(Results!$F$2:$F$482,$A19,Results!$A$2:$A$482,AK$4)=0,"",IF(COUNTIFS(Results!$F$2:$F$482,$A19,Results!$A$2:$A$482,AK$4,Results!$G$2:$G$482,"&gt;0")&gt;0,_xlfn.MINIFS(Results!$G$2:$G$482,Results!$F$2:$F$482,$A19,Results!$A$2:$A$482,AK$4,Results!$G$2:$G$482,"&gt;0"),IF(COUNTIFS(Results!$F$2:$F$482,$A19,Results!$A$2:$A$482,AK$4,Results!$H$2:$H$482,"DNF")&gt;0,"DNF","•")))</f>
        <v/>
      </c>
      <c r="AL19" s="20" t="n">
        <f aca="false">IF(COUNTIFS(Results!$F$2:$F$482,$A19,Results!$A$2:$A$482,AL$4)=0,"",IF(COUNTIFS(Results!$F$2:$F$482,$A19,Results!$A$2:$A$482,AL$4,Results!$G$2:$G$482,"&gt;0")&gt;0,_xlfn.MINIFS(Results!$G$2:$G$482,Results!$F$2:$F$482,$A19,Results!$A$2:$A$482,AL$4,Results!$G$2:$G$482,"&gt;0"),IF(COUNTIFS(Results!$F$2:$F$482,$A19,Results!$A$2:$A$482,AL$4,Results!$H$2:$H$482,"DNF")&gt;0,"DNF","•")))</f>
        <v>2</v>
      </c>
      <c r="AM19" s="20" t="str">
        <f aca="false">IF(COUNTIFS(Results!$F$2:$F$482,$A19,Results!$A$2:$A$482,AM$4)=0,"",IF(COUNTIFS(Results!$F$2:$F$482,$A19,Results!$A$2:$A$482,AM$4,Results!$G$2:$G$482,"&gt;0")&gt;0,_xlfn.MINIFS(Results!$G$2:$G$482,Results!$F$2:$F$482,$A19,Results!$A$2:$A$482,AM$4,Results!$G$2:$G$482,"&gt;0"),IF(COUNTIFS(Results!$F$2:$F$482,$A19,Results!$A$2:$A$482,AM$4,Results!$H$2:$H$482,"DNF")&gt;0,"DNF","•")))</f>
        <v/>
      </c>
      <c r="AN19" s="20" t="str">
        <f aca="false">IF(COUNTIFS(Results!$F$2:$F$482,$A19,Results!$A$2:$A$482,AN$4)=0,"",IF(COUNTIFS(Results!$F$2:$F$482,$A19,Results!$A$2:$A$482,AN$4,Results!$G$2:$G$482,"&gt;0")&gt;0,_xlfn.MINIFS(Results!$G$2:$G$482,Results!$F$2:$F$482,$A19,Results!$A$2:$A$482,AN$4,Results!$G$2:$G$482,"&gt;0"),IF(COUNTIFS(Results!$F$2:$F$482,$A19,Results!$A$2:$A$482,AN$4,Results!$H$2:$H$482,"DNF")&gt;0,"DNF","•")))</f>
        <v/>
      </c>
      <c r="AO19" s="20" t="n">
        <f aca="false">IF(COUNTIFS(Results!$F$2:$F$482,$A19,Results!$A$2:$A$482,AO$4)=0,"",IF(COUNTIFS(Results!$F$2:$F$482,$A19,Results!$A$2:$A$482,AO$4,Results!$G$2:$G$482,"&gt;0")&gt;0,_xlfn.MINIFS(Results!$G$2:$G$482,Results!$F$2:$F$482,$A19,Results!$A$2:$A$482,AO$4,Results!$G$2:$G$482,"&gt;0"),IF(COUNTIFS(Results!$F$2:$F$482,$A19,Results!$A$2:$A$482,AO$4,Results!$H$2:$H$482,"DNF")&gt;0,"DNF","•")))</f>
        <v>13</v>
      </c>
      <c r="AP19" s="20" t="str">
        <f aca="false">IF(COUNTIFS(Results!$F$2:$F$482,$A19,Results!$A$2:$A$482,AP$4)=0,"",IF(COUNTIFS(Results!$F$2:$F$482,$A19,Results!$A$2:$A$482,AP$4,Results!$G$2:$G$482,"&gt;0")&gt;0,_xlfn.MINIFS(Results!$G$2:$G$482,Results!$F$2:$F$482,$A19,Results!$A$2:$A$482,AP$4,Results!$G$2:$G$482,"&gt;0"),IF(COUNTIFS(Results!$F$2:$F$482,$A19,Results!$A$2:$A$482,AP$4,Results!$H$2:$H$482,"DNF")&gt;0,"DNF","•")))</f>
        <v/>
      </c>
      <c r="AQ19" s="20" t="str">
        <f aca="false">IF(COUNTIFS(Results!$F$2:$F$482,$A19,Results!$A$2:$A$482,AQ$4)=0,"",IF(COUNTIFS(Results!$F$2:$F$482,$A19,Results!$A$2:$A$482,AQ$4,Results!$G$2:$G$482,"&gt;0")&gt;0,_xlfn.MINIFS(Results!$G$2:$G$482,Results!$F$2:$F$482,$A19,Results!$A$2:$A$482,AQ$4,Results!$G$2:$G$482,"&gt;0"),IF(COUNTIFS(Results!$F$2:$F$482,$A19,Results!$A$2:$A$482,AQ$4,Results!$H$2:$H$482,"DNF")&gt;0,"DNF","•")))</f>
        <v/>
      </c>
      <c r="AR19" s="20" t="n">
        <f aca="false">IF(COUNTIFS(Results!$F$2:$F$482,$A19,Results!$A$2:$A$482,AR$4)=0,"",IF(COUNTIFS(Results!$F$2:$F$482,$A19,Results!$A$2:$A$482,AR$4,Results!$G$2:$G$482,"&gt;0")&gt;0,_xlfn.MINIFS(Results!$G$2:$G$482,Results!$F$2:$F$482,$A19,Results!$A$2:$A$482,AR$4,Results!$G$2:$G$482,"&gt;0"),IF(COUNTIFS(Results!$F$2:$F$482,$A19,Results!$A$2:$A$482,AR$4,Results!$H$2:$H$482,"DNF")&gt;0,"DNF","•")))</f>
        <v>8</v>
      </c>
      <c r="AS19" s="20" t="str">
        <f aca="false">IF(COUNTIFS(Results!$F$2:$F$482,$A19,Results!$A$2:$A$482,AS$4)=0,"",IF(COUNTIFS(Results!$F$2:$F$482,$A19,Results!$A$2:$A$482,AS$4,Results!$G$2:$G$482,"&gt;0")&gt;0,_xlfn.MINIFS(Results!$G$2:$G$482,Results!$F$2:$F$482,$A19,Results!$A$2:$A$482,AS$4,Results!$G$2:$G$482,"&gt;0"),IF(COUNTIFS(Results!$F$2:$F$482,$A19,Results!$A$2:$A$482,AS$4,Results!$H$2:$H$482,"DNF")&gt;0,"DNF","•")))</f>
        <v/>
      </c>
      <c r="AT19" s="20" t="str">
        <f aca="false">IF(COUNTIFS(Results!$F$2:$F$482,$A19,Results!$A$2:$A$482,AT$4)=0,"",IF(COUNTIFS(Results!$F$2:$F$482,$A19,Results!$A$2:$A$482,AT$4,Results!$G$2:$G$482,"&gt;0")&gt;0,_xlfn.MINIFS(Results!$G$2:$G$482,Results!$F$2:$F$482,$A19,Results!$A$2:$A$482,AT$4,Results!$G$2:$G$482,"&gt;0"),IF(COUNTIFS(Results!$F$2:$F$482,$A19,Results!$A$2:$A$482,AT$4,Results!$H$2:$H$482,"DNF")&gt;0,"DNF","•")))</f>
        <v/>
      </c>
      <c r="AU19" s="20" t="str">
        <f aca="false">IF(COUNTIFS(Results!$F$2:$F$482,$A19,Results!$A$2:$A$482,AU$4)=0,"",IF(COUNTIFS(Results!$F$2:$F$482,$A19,Results!$A$2:$A$482,AU$4,Results!$G$2:$G$482,"&gt;0")&gt;0,_xlfn.MINIFS(Results!$G$2:$G$482,Results!$F$2:$F$482,$A19,Results!$A$2:$A$482,AU$4,Results!$G$2:$G$482,"&gt;0"),IF(COUNTIFS(Results!$F$2:$F$482,$A19,Results!$A$2:$A$482,AU$4,Results!$H$2:$H$482,"DNF")&gt;0,"DNF","•")))</f>
        <v/>
      </c>
      <c r="AV19" s="20" t="n">
        <f aca="false">IF(COUNTIFS(Results!$F$2:$F$482,$A19,Results!$A$2:$A$482,AV$4)=0,"",IF(COUNTIFS(Results!$F$2:$F$482,$A19,Results!$A$2:$A$482,AV$4,Results!$G$2:$G$482,"&gt;0")&gt;0,_xlfn.MINIFS(Results!$G$2:$G$482,Results!$F$2:$F$482,$A19,Results!$A$2:$A$482,AV$4,Results!$G$2:$G$482,"&gt;0"),IF(COUNTIFS(Results!$F$2:$F$482,$A19,Results!$A$2:$A$482,AV$4,Results!$H$2:$H$482,"DNF")&gt;0,"DNF","•")))</f>
        <v>1</v>
      </c>
      <c r="AW19" s="20" t="str">
        <f aca="false">IF(COUNTIFS(Results!$F$2:$F$482,$A19,Results!$A$2:$A$482,AW$4)=0,"",IF(COUNTIFS(Results!$F$2:$F$482,$A19,Results!$A$2:$A$482,AW$4,Results!$G$2:$G$482,"&gt;0")&gt;0,_xlfn.MINIFS(Results!$G$2:$G$482,Results!$F$2:$F$482,$A19,Results!$A$2:$A$482,AW$4,Results!$G$2:$G$482,"&gt;0"),IF(COUNTIFS(Results!$F$2:$F$482,$A19,Results!$A$2:$A$482,AW$4,Results!$H$2:$H$482,"DNF")&gt;0,"DNF","•")))</f>
        <v/>
      </c>
      <c r="AX19" s="20" t="str">
        <f aca="false">IF(COUNTIFS(Results!$F$2:$F$482,$A19,Results!$A$2:$A$482,AX$4)=0,"",IF(COUNTIFS(Results!$F$2:$F$482,$A19,Results!$A$2:$A$482,AX$4,Results!$G$2:$G$482,"&gt;0")&gt;0,_xlfn.MINIFS(Results!$G$2:$G$482,Results!$F$2:$F$482,$A19,Results!$A$2:$A$482,AX$4,Results!$G$2:$G$482,"&gt;0"),IF(COUNTIFS(Results!$F$2:$F$482,$A19,Results!$A$2:$A$482,AX$4,Results!$H$2:$H$482,"DNF")&gt;0,"DNF","•")))</f>
        <v/>
      </c>
      <c r="AY19" s="20" t="str">
        <f aca="false">IF(COUNTIFS(Results!$F$2:$F$482,$A19,Results!$A$2:$A$482,AY$4)=0,"",IF(COUNTIFS(Results!$F$2:$F$482,$A19,Results!$A$2:$A$482,AY$4,Results!$G$2:$G$482,"&gt;0")&gt;0,_xlfn.MINIFS(Results!$G$2:$G$482,Results!$F$2:$F$482,$A19,Results!$A$2:$A$482,AY$4,Results!$G$2:$G$482,"&gt;0"),IF(COUNTIFS(Results!$F$2:$F$482,$A19,Results!$A$2:$A$482,AY$4,Results!$H$2:$H$482,"DNF")&gt;0,"DNF","•")))</f>
        <v/>
      </c>
      <c r="AZ19" s="20" t="str">
        <f aca="false">IF(COUNTIFS(Results!$F$2:$F$482,$A19,Results!$A$2:$A$482,AZ$4)=0,"",IF(COUNTIFS(Results!$F$2:$F$482,$A19,Results!$A$2:$A$482,AZ$4,Results!$G$2:$G$482,"&gt;0")&gt;0,_xlfn.MINIFS(Results!$G$2:$G$482,Results!$F$2:$F$482,$A19,Results!$A$2:$A$482,AZ$4,Results!$G$2:$G$482,"&gt;0"),IF(COUNTIFS(Results!$F$2:$F$482,$A19,Results!$A$2:$A$482,AZ$4,Results!$H$2:$H$482,"DNF")&gt;0,"DNF","•")))</f>
        <v/>
      </c>
      <c r="BA19" s="20" t="n">
        <f aca="false">IF(COUNTIFS(Results!$F$2:$F$482,$A19,Results!$A$2:$A$482,BA$4)=0,"",IF(COUNTIFS(Results!$F$2:$F$482,$A19,Results!$A$2:$A$482,BA$4,Results!$G$2:$G$482,"&gt;0")&gt;0,_xlfn.MINIFS(Results!$G$2:$G$482,Results!$F$2:$F$482,$A19,Results!$A$2:$A$482,BA$4,Results!$G$2:$G$482,"&gt;0"),IF(COUNTIFS(Results!$F$2:$F$482,$A19,Results!$A$2:$A$482,BA$4,Results!$H$2:$H$482,"DNF")&gt;0,"DNF","•")))</f>
        <v>6</v>
      </c>
      <c r="BB19" s="20" t="str">
        <f aca="false">IF(COUNTIFS(Results!$F$2:$F$482,$A19,Results!$A$2:$A$482,BB$4)=0,"",IF(COUNTIFS(Results!$F$2:$F$482,$A19,Results!$A$2:$A$482,BB$4,Results!$G$2:$G$482,"&gt;0")&gt;0,_xlfn.MINIFS(Results!$G$2:$G$482,Results!$F$2:$F$482,$A19,Results!$A$2:$A$482,BB$4,Results!$G$2:$G$482,"&gt;0"),IF(COUNTIFS(Results!$F$2:$F$482,$A19,Results!$A$2:$A$482,BB$4,Results!$H$2:$H$482,"DNF")&gt;0,"DNF","•")))</f>
        <v/>
      </c>
      <c r="BC19" s="20" t="str">
        <f aca="false">IF(COUNTIFS(Results!$F$2:$F$482,$A19,Results!$A$2:$A$482,BC$4)=0,"",IF(COUNTIFS(Results!$F$2:$F$482,$A19,Results!$A$2:$A$482,BC$4,Results!$G$2:$G$482,"&gt;0")&gt;0,_xlfn.MINIFS(Results!$G$2:$G$482,Results!$F$2:$F$482,$A19,Results!$A$2:$A$482,BC$4,Results!$G$2:$G$482,"&gt;0"),IF(COUNTIFS(Results!$F$2:$F$482,$A19,Results!$A$2:$A$482,BC$4,Results!$H$2:$H$482,"DNF")&gt;0,"DNF","•")))</f>
        <v/>
      </c>
      <c r="BD19" s="20" t="str">
        <f aca="false">IF(COUNTIFS(Results!$F$2:$F$482,$A19,Results!$A$2:$A$482,BD$4)=0,"",IF(COUNTIFS(Results!$F$2:$F$482,$A19,Results!$A$2:$A$482,BD$4,Results!$G$2:$G$482,"&gt;0")&gt;0,_xlfn.MINIFS(Results!$G$2:$G$482,Results!$F$2:$F$482,$A19,Results!$A$2:$A$482,BD$4,Results!$G$2:$G$482,"&gt;0"),IF(COUNTIFS(Results!$F$2:$F$482,$A19,Results!$A$2:$A$482,BD$4,Results!$H$2:$H$482,"DNF")&gt;0,"DNF","•")))</f>
        <v/>
      </c>
      <c r="BE19" s="20" t="str">
        <f aca="false">IF(COUNTIFS(Results!$F$2:$F$482,$A19,Results!$A$2:$A$482,BE$4)=0,"",IF(COUNTIFS(Results!$F$2:$F$482,$A19,Results!$A$2:$A$482,BE$4,Results!$G$2:$G$482,"&gt;0")&gt;0,_xlfn.MINIFS(Results!$G$2:$G$482,Results!$F$2:$F$482,$A19,Results!$A$2:$A$482,BE$4,Results!$G$2:$G$482,"&gt;0"),IF(COUNTIFS(Results!$F$2:$F$482,$A19,Results!$A$2:$A$482,BE$4,Results!$H$2:$H$482,"DNF")&gt;0,"DNF","•")))</f>
        <v/>
      </c>
      <c r="BF19" s="20" t="str">
        <f aca="false">IF(COUNTIFS(Results!$F$2:$F$482,$A19,Results!$A$2:$A$482,BF$4)=0,"",IF(COUNTIFS(Results!$F$2:$F$482,$A19,Results!$A$2:$A$482,BF$4,Results!$G$2:$G$482,"&gt;0")&gt;0,_xlfn.MINIFS(Results!$G$2:$G$482,Results!$F$2:$F$482,$A19,Results!$A$2:$A$482,BF$4,Results!$G$2:$G$482,"&gt;0"),IF(COUNTIFS(Results!$F$2:$F$482,$A19,Results!$A$2:$A$482,BF$4,Results!$H$2:$H$482,"DNF")&gt;0,"DNF","•")))</f>
        <v/>
      </c>
      <c r="BG19" s="20" t="str">
        <f aca="false">IF(COUNTIFS(Results!$F$2:$F$482,$A19,Results!$A$2:$A$482,BG$4)=0,"",IF(COUNTIFS(Results!$F$2:$F$482,$A19,Results!$A$2:$A$482,BG$4,Results!$G$2:$G$482,"&gt;0")&gt;0,_xlfn.MINIFS(Results!$G$2:$G$482,Results!$F$2:$F$482,$A19,Results!$A$2:$A$482,BG$4,Results!$G$2:$G$482,"&gt;0"),IF(COUNTIFS(Results!$F$2:$F$482,$A19,Results!$A$2:$A$482,BG$4,Results!$H$2:$H$482,"DNF")&gt;0,"DNF","•")))</f>
        <v/>
      </c>
      <c r="BH19" s="20" t="n">
        <f aca="false">IF(COUNTIFS(Results!$F$2:$F$482,$A19,Results!$A$2:$A$482,BH$4)=0,"",IF(COUNTIFS(Results!$F$2:$F$482,$A19,Results!$A$2:$A$482,BH$4,Results!$G$2:$G$482,"&gt;0")&gt;0,_xlfn.MINIFS(Results!$G$2:$G$482,Results!$F$2:$F$482,$A19,Results!$A$2:$A$482,BH$4,Results!$G$2:$G$482,"&gt;0"),IF(COUNTIFS(Results!$F$2:$F$482,$A19,Results!$A$2:$A$482,BH$4,Results!$H$2:$H$482,"DNF")&gt;0,"DNF","•")))</f>
        <v>29</v>
      </c>
      <c r="BI19" s="20" t="str">
        <f aca="false">IF(COUNTIFS(Results!$F$2:$F$482,$A19,Results!$A$2:$A$482,BI$4)=0,"",IF(COUNTIFS(Results!$F$2:$F$482,$A19,Results!$A$2:$A$482,BI$4,Results!$G$2:$G$482,"&gt;0")&gt;0,_xlfn.MINIFS(Results!$G$2:$G$482,Results!$F$2:$F$482,$A19,Results!$A$2:$A$482,BI$4,Results!$G$2:$G$482,"&gt;0"),IF(COUNTIFS(Results!$F$2:$F$482,$A19,Results!$A$2:$A$482,BI$4,Results!$H$2:$H$482,"DNF")&gt;0,"DNF","•")))</f>
        <v/>
      </c>
      <c r="BJ19" s="20" t="str">
        <f aca="false">IF(COUNTIFS(Results!$F$2:$F$482,$A19,Results!$A$2:$A$482,BJ$4)=0,"",IF(COUNTIFS(Results!$F$2:$F$482,$A19,Results!$A$2:$A$482,BJ$4,Results!$G$2:$G$482,"&gt;0")&gt;0,_xlfn.MINIFS(Results!$G$2:$G$482,Results!$F$2:$F$482,$A19,Results!$A$2:$A$482,BJ$4,Results!$G$2:$G$482,"&gt;0"),IF(COUNTIFS(Results!$F$2:$F$482,$A19,Results!$A$2:$A$482,BJ$4,Results!$H$2:$H$482,"DNF")&gt;0,"DNF","•")))</f>
        <v/>
      </c>
      <c r="BK19" s="20" t="str">
        <f aca="false">IF(COUNTIFS(Results!$F$2:$F$482,$A19,Results!$A$2:$A$482,BK$4)=0,"",IF(COUNTIFS(Results!$F$2:$F$482,$A19,Results!$A$2:$A$482,BK$4,Results!$G$2:$G$482,"&gt;0")&gt;0,_xlfn.MINIFS(Results!$G$2:$G$482,Results!$F$2:$F$482,$A19,Results!$A$2:$A$482,BK$4,Results!$G$2:$G$482,"&gt;0"),IF(COUNTIFS(Results!$F$2:$F$482,$A19,Results!$A$2:$A$482,BK$4,Results!$H$2:$H$482,"DNF")&gt;0,"DNF","•")))</f>
        <v/>
      </c>
      <c r="BL19" s="20" t="str">
        <f aca="false">IF(COUNTIFS(Results!$F$2:$F$482,$A19,Results!$A$2:$A$482,BL$4)=0,"",IF(COUNTIFS(Results!$F$2:$F$482,$A19,Results!$A$2:$A$482,BL$4,Results!$G$2:$G$482,"&gt;0")&gt;0,_xlfn.MINIFS(Results!$G$2:$G$482,Results!$F$2:$F$482,$A19,Results!$A$2:$A$482,BL$4,Results!$G$2:$G$482,"&gt;0"),IF(COUNTIFS(Results!$F$2:$F$482,$A19,Results!$A$2:$A$482,BL$4,Results!$H$2:$H$482,"DNF")&gt;0,"DNF","•")))</f>
        <v/>
      </c>
    </row>
    <row r="20" customFormat="false" ht="15" hidden="false" customHeight="false" outlineLevel="0" collapsed="false">
      <c r="A20" s="7" t="str">
        <f aca="false">Riders!A18</f>
        <v>Kinga Słomka</v>
      </c>
      <c r="B20" s="20" t="n">
        <f aca="false">IF(COUNTIFS(Results!$F$2:$F$482,$A20,Results!$A$2:$A$482,B$4)=0,"",IF(COUNTIFS(Results!$F$2:$F$482,$A20,Results!$A$2:$A$482,B$4,Results!$G$2:$G$482,"&gt;0")&gt;0,_xlfn.MINIFS(Results!$G$2:$G$482,Results!$F$2:$F$482,$A20,Results!$A$2:$A$482,B$4,Results!$G$2:$G$482,"&gt;0"),IF(COUNTIFS(Results!$F$2:$F$482,$A20,Results!$A$2:$A$482,B$4,Results!$H$2:$H$482,"DNF")&gt;0,"DNF","•")))</f>
        <v>2</v>
      </c>
      <c r="C20" s="20" t="n">
        <f aca="false">IF(COUNTIFS(Results!$F$2:$F$482,$A20,Results!$A$2:$A$482,C$4)=0,"",IF(COUNTIFS(Results!$F$2:$F$482,$A20,Results!$A$2:$A$482,C$4,Results!$G$2:$G$482,"&gt;0")&gt;0,_xlfn.MINIFS(Results!$G$2:$G$482,Results!$F$2:$F$482,$A20,Results!$A$2:$A$482,C$4,Results!$G$2:$G$482,"&gt;0"),IF(COUNTIFS(Results!$F$2:$F$482,$A20,Results!$A$2:$A$482,C$4,Results!$H$2:$H$482,"DNF")&gt;0,"DNF","•")))</f>
        <v>3</v>
      </c>
      <c r="D20" s="20" t="str">
        <f aca="false">IF(COUNTIFS(Results!$F$2:$F$482,$A20,Results!$A$2:$A$482,D$4)=0,"",IF(COUNTIFS(Results!$F$2:$F$482,$A20,Results!$A$2:$A$482,D$4,Results!$G$2:$G$482,"&gt;0")&gt;0,_xlfn.MINIFS(Results!$G$2:$G$482,Results!$F$2:$F$482,$A20,Results!$A$2:$A$482,D$4,Results!$G$2:$G$482,"&gt;0"),IF(COUNTIFS(Results!$F$2:$F$482,$A20,Results!$A$2:$A$482,D$4,Results!$H$2:$H$482,"DNF")&gt;0,"DNF","•")))</f>
        <v/>
      </c>
      <c r="E20" s="20" t="n">
        <f aca="false">IF(COUNTIFS(Results!$F$2:$F$482,$A20,Results!$A$2:$A$482,E$4)=0,"",IF(COUNTIFS(Results!$F$2:$F$482,$A20,Results!$A$2:$A$482,E$4,Results!$G$2:$G$482,"&gt;0")&gt;0,_xlfn.MINIFS(Results!$G$2:$G$482,Results!$F$2:$F$482,$A20,Results!$A$2:$A$482,E$4,Results!$G$2:$G$482,"&gt;0"),IF(COUNTIFS(Results!$F$2:$F$482,$A20,Results!$A$2:$A$482,E$4,Results!$H$2:$H$482,"DNF")&gt;0,"DNF","•")))</f>
        <v>2</v>
      </c>
      <c r="F20" s="20" t="str">
        <f aca="false">IF(COUNTIFS(Results!$F$2:$F$482,$A20,Results!$A$2:$A$482,F$4)=0,"",IF(COUNTIFS(Results!$F$2:$F$482,$A20,Results!$A$2:$A$482,F$4,Results!$G$2:$G$482,"&gt;0")&gt;0,_xlfn.MINIFS(Results!$G$2:$G$482,Results!$F$2:$F$482,$A20,Results!$A$2:$A$482,F$4,Results!$G$2:$G$482,"&gt;0"),IF(COUNTIFS(Results!$F$2:$F$482,$A20,Results!$A$2:$A$482,F$4,Results!$H$2:$H$482,"DNF")&gt;0,"DNF","•")))</f>
        <v/>
      </c>
      <c r="G20" s="20" t="str">
        <f aca="false">IF(COUNTIFS(Results!$F$2:$F$482,$A20,Results!$A$2:$A$482,G$4)=0,"",IF(COUNTIFS(Results!$F$2:$F$482,$A20,Results!$A$2:$A$482,G$4,Results!$G$2:$G$482,"&gt;0")&gt;0,_xlfn.MINIFS(Results!$G$2:$G$482,Results!$F$2:$F$482,$A20,Results!$A$2:$A$482,G$4,Results!$G$2:$G$482,"&gt;0"),IF(COUNTIFS(Results!$F$2:$F$482,$A20,Results!$A$2:$A$482,G$4,Results!$H$2:$H$482,"DNF")&gt;0,"DNF","•")))</f>
        <v/>
      </c>
      <c r="H20" s="20" t="n">
        <f aca="false">IF(COUNTIFS(Results!$F$2:$F$482,$A20,Results!$A$2:$A$482,H$4)=0,"",IF(COUNTIFS(Results!$F$2:$F$482,$A20,Results!$A$2:$A$482,H$4,Results!$G$2:$G$482,"&gt;0")&gt;0,_xlfn.MINIFS(Results!$G$2:$G$482,Results!$F$2:$F$482,$A20,Results!$A$2:$A$482,H$4,Results!$G$2:$G$482,"&gt;0"),IF(COUNTIFS(Results!$F$2:$F$482,$A20,Results!$A$2:$A$482,H$4,Results!$H$2:$H$482,"DNF")&gt;0,"DNF","•")))</f>
        <v>48</v>
      </c>
      <c r="I20" s="20" t="str">
        <f aca="false">IF(COUNTIFS(Results!$F$2:$F$482,$A20,Results!$A$2:$A$482,I$4)=0,"",IF(COUNTIFS(Results!$F$2:$F$482,$A20,Results!$A$2:$A$482,I$4,Results!$G$2:$G$482,"&gt;0")&gt;0,_xlfn.MINIFS(Results!$G$2:$G$482,Results!$F$2:$F$482,$A20,Results!$A$2:$A$482,I$4,Results!$G$2:$G$482,"&gt;0"),IF(COUNTIFS(Results!$F$2:$F$482,$A20,Results!$A$2:$A$482,I$4,Results!$H$2:$H$482,"DNF")&gt;0,"DNF","•")))</f>
        <v/>
      </c>
      <c r="J20" s="20" t="str">
        <f aca="false">IF(COUNTIFS(Results!$F$2:$F$482,$A20,Results!$A$2:$A$482,J$4)=0,"",IF(COUNTIFS(Results!$F$2:$F$482,$A20,Results!$A$2:$A$482,J$4,Results!$G$2:$G$482,"&gt;0")&gt;0,_xlfn.MINIFS(Results!$G$2:$G$482,Results!$F$2:$F$482,$A20,Results!$A$2:$A$482,J$4,Results!$G$2:$G$482,"&gt;0"),IF(COUNTIFS(Results!$F$2:$F$482,$A20,Results!$A$2:$A$482,J$4,Results!$H$2:$H$482,"DNF")&gt;0,"DNF","•")))</f>
        <v/>
      </c>
      <c r="K20" s="20" t="str">
        <f aca="false">IF(COUNTIFS(Results!$F$2:$F$482,$A20,Results!$A$2:$A$482,K$4)=0,"",IF(COUNTIFS(Results!$F$2:$F$482,$A20,Results!$A$2:$A$482,K$4,Results!$G$2:$G$482,"&gt;0")&gt;0,_xlfn.MINIFS(Results!$G$2:$G$482,Results!$F$2:$F$482,$A20,Results!$A$2:$A$482,K$4,Results!$G$2:$G$482,"&gt;0"),IF(COUNTIFS(Results!$F$2:$F$482,$A20,Results!$A$2:$A$482,K$4,Results!$H$2:$H$482,"DNF")&gt;0,"DNF","•")))</f>
        <v/>
      </c>
      <c r="L20" s="20" t="str">
        <f aca="false">IF(COUNTIFS(Results!$F$2:$F$482,$A20,Results!$A$2:$A$482,L$4)=0,"",IF(COUNTIFS(Results!$F$2:$F$482,$A20,Results!$A$2:$A$482,L$4,Results!$G$2:$G$482,"&gt;0")&gt;0,_xlfn.MINIFS(Results!$G$2:$G$482,Results!$F$2:$F$482,$A20,Results!$A$2:$A$482,L$4,Results!$G$2:$G$482,"&gt;0"),IF(COUNTIFS(Results!$F$2:$F$482,$A20,Results!$A$2:$A$482,L$4,Results!$H$2:$H$482,"DNF")&gt;0,"DNF","•")))</f>
        <v/>
      </c>
      <c r="M20" s="20" t="str">
        <f aca="false">IF(COUNTIFS(Results!$F$2:$F$482,$A20,Results!$A$2:$A$482,M$4)=0,"",IF(COUNTIFS(Results!$F$2:$F$482,$A20,Results!$A$2:$A$482,M$4,Results!$G$2:$G$482,"&gt;0")&gt;0,_xlfn.MINIFS(Results!$G$2:$G$482,Results!$F$2:$F$482,$A20,Results!$A$2:$A$482,M$4,Results!$G$2:$G$482,"&gt;0"),IF(COUNTIFS(Results!$F$2:$F$482,$A20,Results!$A$2:$A$482,M$4,Results!$H$2:$H$482,"DNF")&gt;0,"DNF","•")))</f>
        <v/>
      </c>
      <c r="N20" s="20" t="n">
        <f aca="false">IF(COUNTIFS(Results!$F$2:$F$482,$A20,Results!$A$2:$A$482,N$4)=0,"",IF(COUNTIFS(Results!$F$2:$F$482,$A20,Results!$A$2:$A$482,N$4,Results!$G$2:$G$482,"&gt;0")&gt;0,_xlfn.MINIFS(Results!$G$2:$G$482,Results!$F$2:$F$482,$A20,Results!$A$2:$A$482,N$4,Results!$G$2:$G$482,"&gt;0"),IF(COUNTIFS(Results!$F$2:$F$482,$A20,Results!$A$2:$A$482,N$4,Results!$H$2:$H$482,"DNF")&gt;0,"DNF","•")))</f>
        <v>2</v>
      </c>
      <c r="O20" s="20" t="str">
        <f aca="false">IF(COUNTIFS(Results!$F$2:$F$482,$A20,Results!$A$2:$A$482,O$4)=0,"",IF(COUNTIFS(Results!$F$2:$F$482,$A20,Results!$A$2:$A$482,O$4,Results!$G$2:$G$482,"&gt;0")&gt;0,_xlfn.MINIFS(Results!$G$2:$G$482,Results!$F$2:$F$482,$A20,Results!$A$2:$A$482,O$4,Results!$G$2:$G$482,"&gt;0"),IF(COUNTIFS(Results!$F$2:$F$482,$A20,Results!$A$2:$A$482,O$4,Results!$H$2:$H$482,"DNF")&gt;0,"DNF","•")))</f>
        <v/>
      </c>
      <c r="P20" s="20" t="str">
        <f aca="false">IF(COUNTIFS(Results!$F$2:$F$482,$A20,Results!$A$2:$A$482,P$4)=0,"",IF(COUNTIFS(Results!$F$2:$F$482,$A20,Results!$A$2:$A$482,P$4,Results!$G$2:$G$482,"&gt;0")&gt;0,_xlfn.MINIFS(Results!$G$2:$G$482,Results!$F$2:$F$482,$A20,Results!$A$2:$A$482,P$4,Results!$G$2:$G$482,"&gt;0"),IF(COUNTIFS(Results!$F$2:$F$482,$A20,Results!$A$2:$A$482,P$4,Results!$H$2:$H$482,"DNF")&gt;0,"DNF","•")))</f>
        <v/>
      </c>
      <c r="Q20" s="20" t="str">
        <f aca="false">IF(COUNTIFS(Results!$F$2:$F$482,$A20,Results!$A$2:$A$482,Q$4)=0,"",IF(COUNTIFS(Results!$F$2:$F$482,$A20,Results!$A$2:$A$482,Q$4,Results!$G$2:$G$482,"&gt;0")&gt;0,_xlfn.MINIFS(Results!$G$2:$G$482,Results!$F$2:$F$482,$A20,Results!$A$2:$A$482,Q$4,Results!$G$2:$G$482,"&gt;0"),IF(COUNTIFS(Results!$F$2:$F$482,$A20,Results!$A$2:$A$482,Q$4,Results!$H$2:$H$482,"DNF")&gt;0,"DNF","•")))</f>
        <v/>
      </c>
      <c r="R20" s="20" t="n">
        <f aca="false">IF(COUNTIFS(Results!$F$2:$F$482,$A20,Results!$A$2:$A$482,R$4)=0,"",IF(COUNTIFS(Results!$F$2:$F$482,$A20,Results!$A$2:$A$482,R$4,Results!$G$2:$G$482,"&gt;0")&gt;0,_xlfn.MINIFS(Results!$G$2:$G$482,Results!$F$2:$F$482,$A20,Results!$A$2:$A$482,R$4,Results!$G$2:$G$482,"&gt;0"),IF(COUNTIFS(Results!$F$2:$F$482,$A20,Results!$A$2:$A$482,R$4,Results!$H$2:$H$482,"DNF")&gt;0,"DNF","•")))</f>
        <v>31</v>
      </c>
      <c r="S20" s="20" t="str">
        <f aca="false">IF(COUNTIFS(Results!$F$2:$F$482,$A20,Results!$A$2:$A$482,S$4)=0,"",IF(COUNTIFS(Results!$F$2:$F$482,$A20,Results!$A$2:$A$482,S$4,Results!$G$2:$G$482,"&gt;0")&gt;0,_xlfn.MINIFS(Results!$G$2:$G$482,Results!$F$2:$F$482,$A20,Results!$A$2:$A$482,S$4,Results!$G$2:$G$482,"&gt;0"),IF(COUNTIFS(Results!$F$2:$F$482,$A20,Results!$A$2:$A$482,S$4,Results!$H$2:$H$482,"DNF")&gt;0,"DNF","•")))</f>
        <v/>
      </c>
      <c r="T20" s="20" t="str">
        <f aca="false">IF(COUNTIFS(Results!$F$2:$F$482,$A20,Results!$A$2:$A$482,T$4)=0,"",IF(COUNTIFS(Results!$F$2:$F$482,$A20,Results!$A$2:$A$482,T$4,Results!$G$2:$G$482,"&gt;0")&gt;0,_xlfn.MINIFS(Results!$G$2:$G$482,Results!$F$2:$F$482,$A20,Results!$A$2:$A$482,T$4,Results!$G$2:$G$482,"&gt;0"),IF(COUNTIFS(Results!$F$2:$F$482,$A20,Results!$A$2:$A$482,T$4,Results!$H$2:$H$482,"DNF")&gt;0,"DNF","•")))</f>
        <v/>
      </c>
      <c r="U20" s="20" t="str">
        <f aca="false">IF(COUNTIFS(Results!$F$2:$F$482,$A20,Results!$A$2:$A$482,U$4)=0,"",IF(COUNTIFS(Results!$F$2:$F$482,$A20,Results!$A$2:$A$482,U$4,Results!$G$2:$G$482,"&gt;0")&gt;0,_xlfn.MINIFS(Results!$G$2:$G$482,Results!$F$2:$F$482,$A20,Results!$A$2:$A$482,U$4,Results!$G$2:$G$482,"&gt;0"),IF(COUNTIFS(Results!$F$2:$F$482,$A20,Results!$A$2:$A$482,U$4,Results!$H$2:$H$482,"DNF")&gt;0,"DNF","•")))</f>
        <v/>
      </c>
      <c r="V20" s="20" t="str">
        <f aca="false">IF(COUNTIFS(Results!$F$2:$F$482,$A20,Results!$A$2:$A$482,V$4)=0,"",IF(COUNTIFS(Results!$F$2:$F$482,$A20,Results!$A$2:$A$482,V$4,Results!$G$2:$G$482,"&gt;0")&gt;0,_xlfn.MINIFS(Results!$G$2:$G$482,Results!$F$2:$F$482,$A20,Results!$A$2:$A$482,V$4,Results!$G$2:$G$482,"&gt;0"),IF(COUNTIFS(Results!$F$2:$F$482,$A20,Results!$A$2:$A$482,V$4,Results!$H$2:$H$482,"DNF")&gt;0,"DNF","•")))</f>
        <v/>
      </c>
      <c r="W20" s="20" t="n">
        <f aca="false">IF(COUNTIFS(Results!$F$2:$F$482,$A20,Results!$A$2:$A$482,W$4)=0,"",IF(COUNTIFS(Results!$F$2:$F$482,$A20,Results!$A$2:$A$482,W$4,Results!$G$2:$G$482,"&gt;0")&gt;0,_xlfn.MINIFS(Results!$G$2:$G$482,Results!$F$2:$F$482,$A20,Results!$A$2:$A$482,W$4,Results!$G$2:$G$482,"&gt;0"),IF(COUNTIFS(Results!$F$2:$F$482,$A20,Results!$A$2:$A$482,W$4,Results!$H$2:$H$482,"DNF")&gt;0,"DNF","•")))</f>
        <v>1</v>
      </c>
      <c r="X20" s="20" t="str">
        <f aca="false">IF(COUNTIFS(Results!$F$2:$F$482,$A20,Results!$A$2:$A$482,X$4)=0,"",IF(COUNTIFS(Results!$F$2:$F$482,$A20,Results!$A$2:$A$482,X$4,Results!$G$2:$G$482,"&gt;0")&gt;0,_xlfn.MINIFS(Results!$G$2:$G$482,Results!$F$2:$F$482,$A20,Results!$A$2:$A$482,X$4,Results!$G$2:$G$482,"&gt;0"),IF(COUNTIFS(Results!$F$2:$F$482,$A20,Results!$A$2:$A$482,X$4,Results!$H$2:$H$482,"DNF")&gt;0,"DNF","•")))</f>
        <v/>
      </c>
      <c r="Y20" s="20" t="str">
        <f aca="false">IF(COUNTIFS(Results!$F$2:$F$482,$A20,Results!$A$2:$A$482,Y$4)=0,"",IF(COUNTIFS(Results!$F$2:$F$482,$A20,Results!$A$2:$A$482,Y$4,Results!$G$2:$G$482,"&gt;0")&gt;0,_xlfn.MINIFS(Results!$G$2:$G$482,Results!$F$2:$F$482,$A20,Results!$A$2:$A$482,Y$4,Results!$G$2:$G$482,"&gt;0"),IF(COUNTIFS(Results!$F$2:$F$482,$A20,Results!$A$2:$A$482,Y$4,Results!$H$2:$H$482,"DNF")&gt;0,"DNF","•")))</f>
        <v/>
      </c>
      <c r="Z20" s="20" t="str">
        <f aca="false">IF(COUNTIFS(Results!$F$2:$F$482,$A20,Results!$A$2:$A$482,Z$4)=0,"",IF(COUNTIFS(Results!$F$2:$F$482,$A20,Results!$A$2:$A$482,Z$4,Results!$G$2:$G$482,"&gt;0")&gt;0,_xlfn.MINIFS(Results!$G$2:$G$482,Results!$F$2:$F$482,$A20,Results!$A$2:$A$482,Z$4,Results!$G$2:$G$482,"&gt;0"),IF(COUNTIFS(Results!$F$2:$F$482,$A20,Results!$A$2:$A$482,Z$4,Results!$H$2:$H$482,"DNF")&gt;0,"DNF","•")))</f>
        <v/>
      </c>
      <c r="AA20" s="20" t="str">
        <f aca="false">IF(COUNTIFS(Results!$F$2:$F$482,$A20,Results!$A$2:$A$482,AA$4)=0,"",IF(COUNTIFS(Results!$F$2:$F$482,$A20,Results!$A$2:$A$482,AA$4,Results!$G$2:$G$482,"&gt;0")&gt;0,_xlfn.MINIFS(Results!$G$2:$G$482,Results!$F$2:$F$482,$A20,Results!$A$2:$A$482,AA$4,Results!$G$2:$G$482,"&gt;0"),IF(COUNTIFS(Results!$F$2:$F$482,$A20,Results!$A$2:$A$482,AA$4,Results!$H$2:$H$482,"DNF")&gt;0,"DNF","•")))</f>
        <v/>
      </c>
      <c r="AB20" s="20" t="str">
        <f aca="false">IF(COUNTIFS(Results!$F$2:$F$482,$A20,Results!$A$2:$A$482,AB$4)=0,"",IF(COUNTIFS(Results!$F$2:$F$482,$A20,Results!$A$2:$A$482,AB$4,Results!$G$2:$G$482,"&gt;0")&gt;0,_xlfn.MINIFS(Results!$G$2:$G$482,Results!$F$2:$F$482,$A20,Results!$A$2:$A$482,AB$4,Results!$G$2:$G$482,"&gt;0"),IF(COUNTIFS(Results!$F$2:$F$482,$A20,Results!$A$2:$A$482,AB$4,Results!$H$2:$H$482,"DNF")&gt;0,"DNF","•")))</f>
        <v/>
      </c>
      <c r="AC20" s="20" t="str">
        <f aca="false">IF(COUNTIFS(Results!$F$2:$F$482,$A20,Results!$A$2:$A$482,AC$4)=0,"",IF(COUNTIFS(Results!$F$2:$F$482,$A20,Results!$A$2:$A$482,AC$4,Results!$G$2:$G$482,"&gt;0")&gt;0,_xlfn.MINIFS(Results!$G$2:$G$482,Results!$F$2:$F$482,$A20,Results!$A$2:$A$482,AC$4,Results!$G$2:$G$482,"&gt;0"),IF(COUNTIFS(Results!$F$2:$F$482,$A20,Results!$A$2:$A$482,AC$4,Results!$H$2:$H$482,"DNF")&gt;0,"DNF","•")))</f>
        <v/>
      </c>
      <c r="AD20" s="20" t="str">
        <f aca="false">IF(COUNTIFS(Results!$F$2:$F$482,$A20,Results!$A$2:$A$482,AD$4)=0,"",IF(COUNTIFS(Results!$F$2:$F$482,$A20,Results!$A$2:$A$482,AD$4,Results!$G$2:$G$482,"&gt;0")&gt;0,_xlfn.MINIFS(Results!$G$2:$G$482,Results!$F$2:$F$482,$A20,Results!$A$2:$A$482,AD$4,Results!$G$2:$G$482,"&gt;0"),IF(COUNTIFS(Results!$F$2:$F$482,$A20,Results!$A$2:$A$482,AD$4,Results!$H$2:$H$482,"DNF")&gt;0,"DNF","•")))</f>
        <v/>
      </c>
      <c r="AE20" s="20" t="str">
        <f aca="false">IF(COUNTIFS(Results!$F$2:$F$482,$A20,Results!$A$2:$A$482,AE$4)=0,"",IF(COUNTIFS(Results!$F$2:$F$482,$A20,Results!$A$2:$A$482,AE$4,Results!$G$2:$G$482,"&gt;0")&gt;0,_xlfn.MINIFS(Results!$G$2:$G$482,Results!$F$2:$F$482,$A20,Results!$A$2:$A$482,AE$4,Results!$G$2:$G$482,"&gt;0"),IF(COUNTIFS(Results!$F$2:$F$482,$A20,Results!$A$2:$A$482,AE$4,Results!$H$2:$H$482,"DNF")&gt;0,"DNF","•")))</f>
        <v/>
      </c>
      <c r="AF20" s="20" t="str">
        <f aca="false">IF(COUNTIFS(Results!$F$2:$F$482,$A20,Results!$A$2:$A$482,AF$4)=0,"",IF(COUNTIFS(Results!$F$2:$F$482,$A20,Results!$A$2:$A$482,AF$4,Results!$G$2:$G$482,"&gt;0")&gt;0,_xlfn.MINIFS(Results!$G$2:$G$482,Results!$F$2:$F$482,$A20,Results!$A$2:$A$482,AF$4,Results!$G$2:$G$482,"&gt;0"),IF(COUNTIFS(Results!$F$2:$F$482,$A20,Results!$A$2:$A$482,AF$4,Results!$H$2:$H$482,"DNF")&gt;0,"DNF","•")))</f>
        <v/>
      </c>
      <c r="AG20" s="20" t="n">
        <f aca="false">IF(COUNTIFS(Results!$F$2:$F$482,$A20,Results!$A$2:$A$482,AG$4)=0,"",IF(COUNTIFS(Results!$F$2:$F$482,$A20,Results!$A$2:$A$482,AG$4,Results!$G$2:$G$482,"&gt;0")&gt;0,_xlfn.MINIFS(Results!$G$2:$G$482,Results!$F$2:$F$482,$A20,Results!$A$2:$A$482,AG$4,Results!$G$2:$G$482,"&gt;0"),IF(COUNTIFS(Results!$F$2:$F$482,$A20,Results!$A$2:$A$482,AG$4,Results!$H$2:$H$482,"DNF")&gt;0,"DNF","•")))</f>
        <v>1</v>
      </c>
      <c r="AH20" s="20" t="str">
        <f aca="false">IF(COUNTIFS(Results!$F$2:$F$482,$A20,Results!$A$2:$A$482,AH$4)=0,"",IF(COUNTIFS(Results!$F$2:$F$482,$A20,Results!$A$2:$A$482,AH$4,Results!$G$2:$G$482,"&gt;0")&gt;0,_xlfn.MINIFS(Results!$G$2:$G$482,Results!$F$2:$F$482,$A20,Results!$A$2:$A$482,AH$4,Results!$G$2:$G$482,"&gt;0"),IF(COUNTIFS(Results!$F$2:$F$482,$A20,Results!$A$2:$A$482,AH$4,Results!$H$2:$H$482,"DNF")&gt;0,"DNF","•")))</f>
        <v/>
      </c>
      <c r="AI20" s="20" t="str">
        <f aca="false">IF(COUNTIFS(Results!$F$2:$F$482,$A20,Results!$A$2:$A$482,AI$4)=0,"",IF(COUNTIFS(Results!$F$2:$F$482,$A20,Results!$A$2:$A$482,AI$4,Results!$G$2:$G$482,"&gt;0")&gt;0,_xlfn.MINIFS(Results!$G$2:$G$482,Results!$F$2:$F$482,$A20,Results!$A$2:$A$482,AI$4,Results!$G$2:$G$482,"&gt;0"),IF(COUNTIFS(Results!$F$2:$F$482,$A20,Results!$A$2:$A$482,AI$4,Results!$H$2:$H$482,"DNF")&gt;0,"DNF","•")))</f>
        <v/>
      </c>
      <c r="AJ20" s="20" t="n">
        <f aca="false">IF(COUNTIFS(Results!$F$2:$F$482,$A20,Results!$A$2:$A$482,AJ$4)=0,"",IF(COUNTIFS(Results!$F$2:$F$482,$A20,Results!$A$2:$A$482,AJ$4,Results!$G$2:$G$482,"&gt;0")&gt;0,_xlfn.MINIFS(Results!$G$2:$G$482,Results!$F$2:$F$482,$A20,Results!$A$2:$A$482,AJ$4,Results!$G$2:$G$482,"&gt;0"),IF(COUNTIFS(Results!$F$2:$F$482,$A20,Results!$A$2:$A$482,AJ$4,Results!$H$2:$H$482,"DNF")&gt;0,"DNF","•")))</f>
        <v>2</v>
      </c>
      <c r="AK20" s="20" t="str">
        <f aca="false">IF(COUNTIFS(Results!$F$2:$F$482,$A20,Results!$A$2:$A$482,AK$4)=0,"",IF(COUNTIFS(Results!$F$2:$F$482,$A20,Results!$A$2:$A$482,AK$4,Results!$G$2:$G$482,"&gt;0")&gt;0,_xlfn.MINIFS(Results!$G$2:$G$482,Results!$F$2:$F$482,$A20,Results!$A$2:$A$482,AK$4,Results!$G$2:$G$482,"&gt;0"),IF(COUNTIFS(Results!$F$2:$F$482,$A20,Results!$A$2:$A$482,AK$4,Results!$H$2:$H$482,"DNF")&gt;0,"DNF","•")))</f>
        <v/>
      </c>
      <c r="AL20" s="20" t="str">
        <f aca="false">IF(COUNTIFS(Results!$F$2:$F$482,$A20,Results!$A$2:$A$482,AL$4)=0,"",IF(COUNTIFS(Results!$F$2:$F$482,$A20,Results!$A$2:$A$482,AL$4,Results!$G$2:$G$482,"&gt;0")&gt;0,_xlfn.MINIFS(Results!$G$2:$G$482,Results!$F$2:$F$482,$A20,Results!$A$2:$A$482,AL$4,Results!$G$2:$G$482,"&gt;0"),IF(COUNTIFS(Results!$F$2:$F$482,$A20,Results!$A$2:$A$482,AL$4,Results!$H$2:$H$482,"DNF")&gt;0,"DNF","•")))</f>
        <v/>
      </c>
      <c r="AM20" s="20" t="str">
        <f aca="false">IF(COUNTIFS(Results!$F$2:$F$482,$A20,Results!$A$2:$A$482,AM$4)=0,"",IF(COUNTIFS(Results!$F$2:$F$482,$A20,Results!$A$2:$A$482,AM$4,Results!$G$2:$G$482,"&gt;0")&gt;0,_xlfn.MINIFS(Results!$G$2:$G$482,Results!$F$2:$F$482,$A20,Results!$A$2:$A$482,AM$4,Results!$G$2:$G$482,"&gt;0"),IF(COUNTIFS(Results!$F$2:$F$482,$A20,Results!$A$2:$A$482,AM$4,Results!$H$2:$H$482,"DNF")&gt;0,"DNF","•")))</f>
        <v/>
      </c>
      <c r="AN20" s="20" t="str">
        <f aca="false">IF(COUNTIFS(Results!$F$2:$F$482,$A20,Results!$A$2:$A$482,AN$4)=0,"",IF(COUNTIFS(Results!$F$2:$F$482,$A20,Results!$A$2:$A$482,AN$4,Results!$G$2:$G$482,"&gt;0")&gt;0,_xlfn.MINIFS(Results!$G$2:$G$482,Results!$F$2:$F$482,$A20,Results!$A$2:$A$482,AN$4,Results!$G$2:$G$482,"&gt;0"),IF(COUNTIFS(Results!$F$2:$F$482,$A20,Results!$A$2:$A$482,AN$4,Results!$H$2:$H$482,"DNF")&gt;0,"DNF","•")))</f>
        <v/>
      </c>
      <c r="AO20" s="20" t="str">
        <f aca="false">IF(COUNTIFS(Results!$F$2:$F$482,$A20,Results!$A$2:$A$482,AO$4)=0,"",IF(COUNTIFS(Results!$F$2:$F$482,$A20,Results!$A$2:$A$482,AO$4,Results!$G$2:$G$482,"&gt;0")&gt;0,_xlfn.MINIFS(Results!$G$2:$G$482,Results!$F$2:$F$482,$A20,Results!$A$2:$A$482,AO$4,Results!$G$2:$G$482,"&gt;0"),IF(COUNTIFS(Results!$F$2:$F$482,$A20,Results!$A$2:$A$482,AO$4,Results!$H$2:$H$482,"DNF")&gt;0,"DNF","•")))</f>
        <v/>
      </c>
      <c r="AP20" s="20" t="str">
        <f aca="false">IF(COUNTIFS(Results!$F$2:$F$482,$A20,Results!$A$2:$A$482,AP$4)=0,"",IF(COUNTIFS(Results!$F$2:$F$482,$A20,Results!$A$2:$A$482,AP$4,Results!$G$2:$G$482,"&gt;0")&gt;0,_xlfn.MINIFS(Results!$G$2:$G$482,Results!$F$2:$F$482,$A20,Results!$A$2:$A$482,AP$4,Results!$G$2:$G$482,"&gt;0"),IF(COUNTIFS(Results!$F$2:$F$482,$A20,Results!$A$2:$A$482,AP$4,Results!$H$2:$H$482,"DNF")&gt;0,"DNF","•")))</f>
        <v/>
      </c>
      <c r="AQ20" s="20" t="str">
        <f aca="false">IF(COUNTIFS(Results!$F$2:$F$482,$A20,Results!$A$2:$A$482,AQ$4)=0,"",IF(COUNTIFS(Results!$F$2:$F$482,$A20,Results!$A$2:$A$482,AQ$4,Results!$G$2:$G$482,"&gt;0")&gt;0,_xlfn.MINIFS(Results!$G$2:$G$482,Results!$F$2:$F$482,$A20,Results!$A$2:$A$482,AQ$4,Results!$G$2:$G$482,"&gt;0"),IF(COUNTIFS(Results!$F$2:$F$482,$A20,Results!$A$2:$A$482,AQ$4,Results!$H$2:$H$482,"DNF")&gt;0,"DNF","•")))</f>
        <v/>
      </c>
      <c r="AR20" s="20" t="n">
        <f aca="false">IF(COUNTIFS(Results!$F$2:$F$482,$A20,Results!$A$2:$A$482,AR$4)=0,"",IF(COUNTIFS(Results!$F$2:$F$482,$A20,Results!$A$2:$A$482,AR$4,Results!$G$2:$G$482,"&gt;0")&gt;0,_xlfn.MINIFS(Results!$G$2:$G$482,Results!$F$2:$F$482,$A20,Results!$A$2:$A$482,AR$4,Results!$G$2:$G$482,"&gt;0"),IF(COUNTIFS(Results!$F$2:$F$482,$A20,Results!$A$2:$A$482,AR$4,Results!$H$2:$H$482,"DNF")&gt;0,"DNF","•")))</f>
        <v>33</v>
      </c>
      <c r="AS20" s="20" t="n">
        <f aca="false">IF(COUNTIFS(Results!$F$2:$F$482,$A20,Results!$A$2:$A$482,AS$4)=0,"",IF(COUNTIFS(Results!$F$2:$F$482,$A20,Results!$A$2:$A$482,AS$4,Results!$G$2:$G$482,"&gt;0")&gt;0,_xlfn.MINIFS(Results!$G$2:$G$482,Results!$F$2:$F$482,$A20,Results!$A$2:$A$482,AS$4,Results!$G$2:$G$482,"&gt;0"),IF(COUNTIFS(Results!$F$2:$F$482,$A20,Results!$A$2:$A$482,AS$4,Results!$H$2:$H$482,"DNF")&gt;0,"DNF","•")))</f>
        <v>2</v>
      </c>
      <c r="AT20" s="20" t="n">
        <f aca="false">IF(COUNTIFS(Results!$F$2:$F$482,$A20,Results!$A$2:$A$482,AT$4)=0,"",IF(COUNTIFS(Results!$F$2:$F$482,$A20,Results!$A$2:$A$482,AT$4,Results!$G$2:$G$482,"&gt;0")&gt;0,_xlfn.MINIFS(Results!$G$2:$G$482,Results!$F$2:$F$482,$A20,Results!$A$2:$A$482,AT$4,Results!$G$2:$G$482,"&gt;0"),IF(COUNTIFS(Results!$F$2:$F$482,$A20,Results!$A$2:$A$482,AT$4,Results!$H$2:$H$482,"DNF")&gt;0,"DNF","•")))</f>
        <v>2</v>
      </c>
      <c r="AU20" s="20" t="str">
        <f aca="false">IF(COUNTIFS(Results!$F$2:$F$482,$A20,Results!$A$2:$A$482,AU$4)=0,"",IF(COUNTIFS(Results!$F$2:$F$482,$A20,Results!$A$2:$A$482,AU$4,Results!$G$2:$G$482,"&gt;0")&gt;0,_xlfn.MINIFS(Results!$G$2:$G$482,Results!$F$2:$F$482,$A20,Results!$A$2:$A$482,AU$4,Results!$G$2:$G$482,"&gt;0"),IF(COUNTIFS(Results!$F$2:$F$482,$A20,Results!$A$2:$A$482,AU$4,Results!$H$2:$H$482,"DNF")&gt;0,"DNF","•")))</f>
        <v/>
      </c>
      <c r="AV20" s="20" t="n">
        <f aca="false">IF(COUNTIFS(Results!$F$2:$F$482,$A20,Results!$A$2:$A$482,AV$4)=0,"",IF(COUNTIFS(Results!$F$2:$F$482,$A20,Results!$A$2:$A$482,AV$4,Results!$G$2:$G$482,"&gt;0")&gt;0,_xlfn.MINIFS(Results!$G$2:$G$482,Results!$F$2:$F$482,$A20,Results!$A$2:$A$482,AV$4,Results!$G$2:$G$482,"&gt;0"),IF(COUNTIFS(Results!$F$2:$F$482,$A20,Results!$A$2:$A$482,AV$4,Results!$H$2:$H$482,"DNF")&gt;0,"DNF","•")))</f>
        <v>2</v>
      </c>
      <c r="AW20" s="20" t="str">
        <f aca="false">IF(COUNTIFS(Results!$F$2:$F$482,$A20,Results!$A$2:$A$482,AW$4)=0,"",IF(COUNTIFS(Results!$F$2:$F$482,$A20,Results!$A$2:$A$482,AW$4,Results!$G$2:$G$482,"&gt;0")&gt;0,_xlfn.MINIFS(Results!$G$2:$G$482,Results!$F$2:$F$482,$A20,Results!$A$2:$A$482,AW$4,Results!$G$2:$G$482,"&gt;0"),IF(COUNTIFS(Results!$F$2:$F$482,$A20,Results!$A$2:$A$482,AW$4,Results!$H$2:$H$482,"DNF")&gt;0,"DNF","•")))</f>
        <v/>
      </c>
      <c r="AX20" s="20" t="str">
        <f aca="false">IF(COUNTIFS(Results!$F$2:$F$482,$A20,Results!$A$2:$A$482,AX$4)=0,"",IF(COUNTIFS(Results!$F$2:$F$482,$A20,Results!$A$2:$A$482,AX$4,Results!$G$2:$G$482,"&gt;0")&gt;0,_xlfn.MINIFS(Results!$G$2:$G$482,Results!$F$2:$F$482,$A20,Results!$A$2:$A$482,AX$4,Results!$G$2:$G$482,"&gt;0"),IF(COUNTIFS(Results!$F$2:$F$482,$A20,Results!$A$2:$A$482,AX$4,Results!$H$2:$H$482,"DNF")&gt;0,"DNF","•")))</f>
        <v/>
      </c>
      <c r="AY20" s="20" t="str">
        <f aca="false">IF(COUNTIFS(Results!$F$2:$F$482,$A20,Results!$A$2:$A$482,AY$4)=0,"",IF(COUNTIFS(Results!$F$2:$F$482,$A20,Results!$A$2:$A$482,AY$4,Results!$G$2:$G$482,"&gt;0")&gt;0,_xlfn.MINIFS(Results!$G$2:$G$482,Results!$F$2:$F$482,$A20,Results!$A$2:$A$482,AY$4,Results!$G$2:$G$482,"&gt;0"),IF(COUNTIFS(Results!$F$2:$F$482,$A20,Results!$A$2:$A$482,AY$4,Results!$H$2:$H$482,"DNF")&gt;0,"DNF","•")))</f>
        <v/>
      </c>
      <c r="AZ20" s="20" t="str">
        <f aca="false">IF(COUNTIFS(Results!$F$2:$F$482,$A20,Results!$A$2:$A$482,AZ$4)=0,"",IF(COUNTIFS(Results!$F$2:$F$482,$A20,Results!$A$2:$A$482,AZ$4,Results!$G$2:$G$482,"&gt;0")&gt;0,_xlfn.MINIFS(Results!$G$2:$G$482,Results!$F$2:$F$482,$A20,Results!$A$2:$A$482,AZ$4,Results!$G$2:$G$482,"&gt;0"),IF(COUNTIFS(Results!$F$2:$F$482,$A20,Results!$A$2:$A$482,AZ$4,Results!$H$2:$H$482,"DNF")&gt;0,"DNF","•")))</f>
        <v/>
      </c>
      <c r="BA20" s="20" t="n">
        <f aca="false">IF(COUNTIFS(Results!$F$2:$F$482,$A20,Results!$A$2:$A$482,BA$4)=0,"",IF(COUNTIFS(Results!$F$2:$F$482,$A20,Results!$A$2:$A$482,BA$4,Results!$G$2:$G$482,"&gt;0")&gt;0,_xlfn.MINIFS(Results!$G$2:$G$482,Results!$F$2:$F$482,$A20,Results!$A$2:$A$482,BA$4,Results!$G$2:$G$482,"&gt;0"),IF(COUNTIFS(Results!$F$2:$F$482,$A20,Results!$A$2:$A$482,BA$4,Results!$H$2:$H$482,"DNF")&gt;0,"DNF","•")))</f>
        <v>15</v>
      </c>
      <c r="BB20" s="20" t="str">
        <f aca="false">IF(COUNTIFS(Results!$F$2:$F$482,$A20,Results!$A$2:$A$482,BB$4)=0,"",IF(COUNTIFS(Results!$F$2:$F$482,$A20,Results!$A$2:$A$482,BB$4,Results!$G$2:$G$482,"&gt;0")&gt;0,_xlfn.MINIFS(Results!$G$2:$G$482,Results!$F$2:$F$482,$A20,Results!$A$2:$A$482,BB$4,Results!$G$2:$G$482,"&gt;0"),IF(COUNTIFS(Results!$F$2:$F$482,$A20,Results!$A$2:$A$482,BB$4,Results!$H$2:$H$482,"DNF")&gt;0,"DNF","•")))</f>
        <v/>
      </c>
      <c r="BC20" s="20" t="n">
        <f aca="false">IF(COUNTIFS(Results!$F$2:$F$482,$A20,Results!$A$2:$A$482,BC$4)=0,"",IF(COUNTIFS(Results!$F$2:$F$482,$A20,Results!$A$2:$A$482,BC$4,Results!$G$2:$G$482,"&gt;0")&gt;0,_xlfn.MINIFS(Results!$G$2:$G$482,Results!$F$2:$F$482,$A20,Results!$A$2:$A$482,BC$4,Results!$G$2:$G$482,"&gt;0"),IF(COUNTIFS(Results!$F$2:$F$482,$A20,Results!$A$2:$A$482,BC$4,Results!$H$2:$H$482,"DNF")&gt;0,"DNF","•")))</f>
        <v>3</v>
      </c>
      <c r="BD20" s="20" t="n">
        <f aca="false">IF(COUNTIFS(Results!$F$2:$F$482,$A20,Results!$A$2:$A$482,BD$4)=0,"",IF(COUNTIFS(Results!$F$2:$F$482,$A20,Results!$A$2:$A$482,BD$4,Results!$G$2:$G$482,"&gt;0")&gt;0,_xlfn.MINIFS(Results!$G$2:$G$482,Results!$F$2:$F$482,$A20,Results!$A$2:$A$482,BD$4,Results!$G$2:$G$482,"&gt;0"),IF(COUNTIFS(Results!$F$2:$F$482,$A20,Results!$A$2:$A$482,BD$4,Results!$H$2:$H$482,"DNF")&gt;0,"DNF","•")))</f>
        <v>1</v>
      </c>
      <c r="BE20" s="20" t="n">
        <f aca="false">IF(COUNTIFS(Results!$F$2:$F$482,$A20,Results!$A$2:$A$482,BE$4)=0,"",IF(COUNTIFS(Results!$F$2:$F$482,$A20,Results!$A$2:$A$482,BE$4,Results!$G$2:$G$482,"&gt;0")&gt;0,_xlfn.MINIFS(Results!$G$2:$G$482,Results!$F$2:$F$482,$A20,Results!$A$2:$A$482,BE$4,Results!$G$2:$G$482,"&gt;0"),IF(COUNTIFS(Results!$F$2:$F$482,$A20,Results!$A$2:$A$482,BE$4,Results!$H$2:$H$482,"DNF")&gt;0,"DNF","•")))</f>
        <v>1</v>
      </c>
      <c r="BF20" s="20" t="str">
        <f aca="false">IF(COUNTIFS(Results!$F$2:$F$482,$A20,Results!$A$2:$A$482,BF$4)=0,"",IF(COUNTIFS(Results!$F$2:$F$482,$A20,Results!$A$2:$A$482,BF$4,Results!$G$2:$G$482,"&gt;0")&gt;0,_xlfn.MINIFS(Results!$G$2:$G$482,Results!$F$2:$F$482,$A20,Results!$A$2:$A$482,BF$4,Results!$G$2:$G$482,"&gt;0"),IF(COUNTIFS(Results!$F$2:$F$482,$A20,Results!$A$2:$A$482,BF$4,Results!$H$2:$H$482,"DNF")&gt;0,"DNF","•")))</f>
        <v/>
      </c>
      <c r="BG20" s="20" t="str">
        <f aca="false">IF(COUNTIFS(Results!$F$2:$F$482,$A20,Results!$A$2:$A$482,BG$4)=0,"",IF(COUNTIFS(Results!$F$2:$F$482,$A20,Results!$A$2:$A$482,BG$4,Results!$G$2:$G$482,"&gt;0")&gt;0,_xlfn.MINIFS(Results!$G$2:$G$482,Results!$F$2:$F$482,$A20,Results!$A$2:$A$482,BG$4,Results!$G$2:$G$482,"&gt;0"),IF(COUNTIFS(Results!$F$2:$F$482,$A20,Results!$A$2:$A$482,BG$4,Results!$H$2:$H$482,"DNF")&gt;0,"DNF","•")))</f>
        <v/>
      </c>
      <c r="BH20" s="20" t="n">
        <f aca="false">IF(COUNTIFS(Results!$F$2:$F$482,$A20,Results!$A$2:$A$482,BH$4)=0,"",IF(COUNTIFS(Results!$F$2:$F$482,$A20,Results!$A$2:$A$482,BH$4,Results!$G$2:$G$482,"&gt;0")&gt;0,_xlfn.MINIFS(Results!$G$2:$G$482,Results!$F$2:$F$482,$A20,Results!$A$2:$A$482,BH$4,Results!$G$2:$G$482,"&gt;0"),IF(COUNTIFS(Results!$F$2:$F$482,$A20,Results!$A$2:$A$482,BH$4,Results!$H$2:$H$482,"DNF")&gt;0,"DNF","•")))</f>
        <v>22</v>
      </c>
      <c r="BI20" s="20" t="str">
        <f aca="false">IF(COUNTIFS(Results!$F$2:$F$482,$A20,Results!$A$2:$A$482,BI$4)=0,"",IF(COUNTIFS(Results!$F$2:$F$482,$A20,Results!$A$2:$A$482,BI$4,Results!$G$2:$G$482,"&gt;0")&gt;0,_xlfn.MINIFS(Results!$G$2:$G$482,Results!$F$2:$F$482,$A20,Results!$A$2:$A$482,BI$4,Results!$G$2:$G$482,"&gt;0"),IF(COUNTIFS(Results!$F$2:$F$482,$A20,Results!$A$2:$A$482,BI$4,Results!$H$2:$H$482,"DNF")&gt;0,"DNF","•")))</f>
        <v/>
      </c>
      <c r="BJ20" s="20" t="str">
        <f aca="false">IF(COUNTIFS(Results!$F$2:$F$482,$A20,Results!$A$2:$A$482,BJ$4)=0,"",IF(COUNTIFS(Results!$F$2:$F$482,$A20,Results!$A$2:$A$482,BJ$4,Results!$G$2:$G$482,"&gt;0")&gt;0,_xlfn.MINIFS(Results!$G$2:$G$482,Results!$F$2:$F$482,$A20,Results!$A$2:$A$482,BJ$4,Results!$G$2:$G$482,"&gt;0"),IF(COUNTIFS(Results!$F$2:$F$482,$A20,Results!$A$2:$A$482,BJ$4,Results!$H$2:$H$482,"DNF")&gt;0,"DNF","•")))</f>
        <v/>
      </c>
      <c r="BK20" s="20" t="str">
        <f aca="false">IF(COUNTIFS(Results!$F$2:$F$482,$A20,Results!$A$2:$A$482,BK$4)=0,"",IF(COUNTIFS(Results!$F$2:$F$482,$A20,Results!$A$2:$A$482,BK$4,Results!$G$2:$G$482,"&gt;0")&gt;0,_xlfn.MINIFS(Results!$G$2:$G$482,Results!$F$2:$F$482,$A20,Results!$A$2:$A$482,BK$4,Results!$G$2:$G$482,"&gt;0"),IF(COUNTIFS(Results!$F$2:$F$482,$A20,Results!$A$2:$A$482,BK$4,Results!$H$2:$H$482,"DNF")&gt;0,"DNF","•")))</f>
        <v/>
      </c>
      <c r="BL20" s="20" t="str">
        <f aca="false">IF(COUNTIFS(Results!$F$2:$F$482,$A20,Results!$A$2:$A$482,BL$4)=0,"",IF(COUNTIFS(Results!$F$2:$F$482,$A20,Results!$A$2:$A$482,BL$4,Results!$G$2:$G$482,"&gt;0")&gt;0,_xlfn.MINIFS(Results!$G$2:$G$482,Results!$F$2:$F$482,$A20,Results!$A$2:$A$482,BL$4,Results!$G$2:$G$482,"&gt;0"),IF(COUNTIFS(Results!$F$2:$F$482,$A20,Results!$A$2:$A$482,BL$4,Results!$H$2:$H$482,"DNF")&gt;0,"DNF","•")))</f>
        <v/>
      </c>
    </row>
    <row r="21" customFormat="false" ht="15" hidden="false" customHeight="false" outlineLevel="0" collapsed="false">
      <c r="A21" s="7" t="str">
        <f aca="false">Riders!A19</f>
        <v>Julia Pośpiech</v>
      </c>
      <c r="B21" s="20" t="str">
        <f aca="false">IF(COUNTIFS(Results!$F$2:$F$482,$A21,Results!$A$2:$A$482,B$4)=0,"",IF(COUNTIFS(Results!$F$2:$F$482,$A21,Results!$A$2:$A$482,B$4,Results!$G$2:$G$482,"&gt;0")&gt;0,_xlfn.MINIFS(Results!$G$2:$G$482,Results!$F$2:$F$482,$A21,Results!$A$2:$A$482,B$4,Results!$G$2:$G$482,"&gt;0"),IF(COUNTIFS(Results!$F$2:$F$482,$A21,Results!$A$2:$A$482,B$4,Results!$H$2:$H$482,"DNF")&gt;0,"DNF","•")))</f>
        <v/>
      </c>
      <c r="C21" s="20" t="str">
        <f aca="false">IF(COUNTIFS(Results!$F$2:$F$482,$A21,Results!$A$2:$A$482,C$4)=0,"",IF(COUNTIFS(Results!$F$2:$F$482,$A21,Results!$A$2:$A$482,C$4,Results!$G$2:$G$482,"&gt;0")&gt;0,_xlfn.MINIFS(Results!$G$2:$G$482,Results!$F$2:$F$482,$A21,Results!$A$2:$A$482,C$4,Results!$G$2:$G$482,"&gt;0"),IF(COUNTIFS(Results!$F$2:$F$482,$A21,Results!$A$2:$A$482,C$4,Results!$H$2:$H$482,"DNF")&gt;0,"DNF","•")))</f>
        <v/>
      </c>
      <c r="D21" s="20" t="str">
        <f aca="false">IF(COUNTIFS(Results!$F$2:$F$482,$A21,Results!$A$2:$A$482,D$4)=0,"",IF(COUNTIFS(Results!$F$2:$F$482,$A21,Results!$A$2:$A$482,D$4,Results!$G$2:$G$482,"&gt;0")&gt;0,_xlfn.MINIFS(Results!$G$2:$G$482,Results!$F$2:$F$482,$A21,Results!$A$2:$A$482,D$4,Results!$G$2:$G$482,"&gt;0"),IF(COUNTIFS(Results!$F$2:$F$482,$A21,Results!$A$2:$A$482,D$4,Results!$H$2:$H$482,"DNF")&gt;0,"DNF","•")))</f>
        <v/>
      </c>
      <c r="E21" s="20" t="n">
        <f aca="false">IF(COUNTIFS(Results!$F$2:$F$482,$A21,Results!$A$2:$A$482,E$4)=0,"",IF(COUNTIFS(Results!$F$2:$F$482,$A21,Results!$A$2:$A$482,E$4,Results!$G$2:$G$482,"&gt;0")&gt;0,_xlfn.MINIFS(Results!$G$2:$G$482,Results!$F$2:$F$482,$A21,Results!$A$2:$A$482,E$4,Results!$G$2:$G$482,"&gt;0"),IF(COUNTIFS(Results!$F$2:$F$482,$A21,Results!$A$2:$A$482,E$4,Results!$H$2:$H$482,"DNF")&gt;0,"DNF","•")))</f>
        <v>1</v>
      </c>
      <c r="F21" s="20" t="str">
        <f aca="false">IF(COUNTIFS(Results!$F$2:$F$482,$A21,Results!$A$2:$A$482,F$4)=0,"",IF(COUNTIFS(Results!$F$2:$F$482,$A21,Results!$A$2:$A$482,F$4,Results!$G$2:$G$482,"&gt;0")&gt;0,_xlfn.MINIFS(Results!$G$2:$G$482,Results!$F$2:$F$482,$A21,Results!$A$2:$A$482,F$4,Results!$G$2:$G$482,"&gt;0"),IF(COUNTIFS(Results!$F$2:$F$482,$A21,Results!$A$2:$A$482,F$4,Results!$H$2:$H$482,"DNF")&gt;0,"DNF","•")))</f>
        <v/>
      </c>
      <c r="G21" s="20" t="str">
        <f aca="false">IF(COUNTIFS(Results!$F$2:$F$482,$A21,Results!$A$2:$A$482,G$4)=0,"",IF(COUNTIFS(Results!$F$2:$F$482,$A21,Results!$A$2:$A$482,G$4,Results!$G$2:$G$482,"&gt;0")&gt;0,_xlfn.MINIFS(Results!$G$2:$G$482,Results!$F$2:$F$482,$A21,Results!$A$2:$A$482,G$4,Results!$G$2:$G$482,"&gt;0"),IF(COUNTIFS(Results!$F$2:$F$482,$A21,Results!$A$2:$A$482,G$4,Results!$H$2:$H$482,"DNF")&gt;0,"DNF","•")))</f>
        <v/>
      </c>
      <c r="H21" s="20" t="str">
        <f aca="false">IF(COUNTIFS(Results!$F$2:$F$482,$A21,Results!$A$2:$A$482,H$4)=0,"",IF(COUNTIFS(Results!$F$2:$F$482,$A21,Results!$A$2:$A$482,H$4,Results!$G$2:$G$482,"&gt;0")&gt;0,_xlfn.MINIFS(Results!$G$2:$G$482,Results!$F$2:$F$482,$A21,Results!$A$2:$A$482,H$4,Results!$G$2:$G$482,"&gt;0"),IF(COUNTIFS(Results!$F$2:$F$482,$A21,Results!$A$2:$A$482,H$4,Results!$H$2:$H$482,"DNF")&gt;0,"DNF","•")))</f>
        <v>DNF</v>
      </c>
      <c r="I21" s="20" t="str">
        <f aca="false">IF(COUNTIFS(Results!$F$2:$F$482,$A21,Results!$A$2:$A$482,I$4)=0,"",IF(COUNTIFS(Results!$F$2:$F$482,$A21,Results!$A$2:$A$482,I$4,Results!$G$2:$G$482,"&gt;0")&gt;0,_xlfn.MINIFS(Results!$G$2:$G$482,Results!$F$2:$F$482,$A21,Results!$A$2:$A$482,I$4,Results!$G$2:$G$482,"&gt;0"),IF(COUNTIFS(Results!$F$2:$F$482,$A21,Results!$A$2:$A$482,I$4,Results!$H$2:$H$482,"DNF")&gt;0,"DNF","•")))</f>
        <v/>
      </c>
      <c r="J21" s="20" t="str">
        <f aca="false">IF(COUNTIFS(Results!$F$2:$F$482,$A21,Results!$A$2:$A$482,J$4)=0,"",IF(COUNTIFS(Results!$F$2:$F$482,$A21,Results!$A$2:$A$482,J$4,Results!$G$2:$G$482,"&gt;0")&gt;0,_xlfn.MINIFS(Results!$G$2:$G$482,Results!$F$2:$F$482,$A21,Results!$A$2:$A$482,J$4,Results!$G$2:$G$482,"&gt;0"),IF(COUNTIFS(Results!$F$2:$F$482,$A21,Results!$A$2:$A$482,J$4,Results!$H$2:$H$482,"DNF")&gt;0,"DNF","•")))</f>
        <v/>
      </c>
      <c r="K21" s="20" t="str">
        <f aca="false">IF(COUNTIFS(Results!$F$2:$F$482,$A21,Results!$A$2:$A$482,K$4)=0,"",IF(COUNTIFS(Results!$F$2:$F$482,$A21,Results!$A$2:$A$482,K$4,Results!$G$2:$G$482,"&gt;0")&gt;0,_xlfn.MINIFS(Results!$G$2:$G$482,Results!$F$2:$F$482,$A21,Results!$A$2:$A$482,K$4,Results!$G$2:$G$482,"&gt;0"),IF(COUNTIFS(Results!$F$2:$F$482,$A21,Results!$A$2:$A$482,K$4,Results!$H$2:$H$482,"DNF")&gt;0,"DNF","•")))</f>
        <v/>
      </c>
      <c r="L21" s="20" t="str">
        <f aca="false">IF(COUNTIFS(Results!$F$2:$F$482,$A21,Results!$A$2:$A$482,L$4)=0,"",IF(COUNTIFS(Results!$F$2:$F$482,$A21,Results!$A$2:$A$482,L$4,Results!$G$2:$G$482,"&gt;0")&gt;0,_xlfn.MINIFS(Results!$G$2:$G$482,Results!$F$2:$F$482,$A21,Results!$A$2:$A$482,L$4,Results!$G$2:$G$482,"&gt;0"),IF(COUNTIFS(Results!$F$2:$F$482,$A21,Results!$A$2:$A$482,L$4,Results!$H$2:$H$482,"DNF")&gt;0,"DNF","•")))</f>
        <v/>
      </c>
      <c r="M21" s="20" t="str">
        <f aca="false">IF(COUNTIFS(Results!$F$2:$F$482,$A21,Results!$A$2:$A$482,M$4)=0,"",IF(COUNTIFS(Results!$F$2:$F$482,$A21,Results!$A$2:$A$482,M$4,Results!$G$2:$G$482,"&gt;0")&gt;0,_xlfn.MINIFS(Results!$G$2:$G$482,Results!$F$2:$F$482,$A21,Results!$A$2:$A$482,M$4,Results!$G$2:$G$482,"&gt;0"),IF(COUNTIFS(Results!$F$2:$F$482,$A21,Results!$A$2:$A$482,M$4,Results!$H$2:$H$482,"DNF")&gt;0,"DNF","•")))</f>
        <v/>
      </c>
      <c r="N21" s="20" t="str">
        <f aca="false">IF(COUNTIFS(Results!$F$2:$F$482,$A21,Results!$A$2:$A$482,N$4)=0,"",IF(COUNTIFS(Results!$F$2:$F$482,$A21,Results!$A$2:$A$482,N$4,Results!$G$2:$G$482,"&gt;0")&gt;0,_xlfn.MINIFS(Results!$G$2:$G$482,Results!$F$2:$F$482,$A21,Results!$A$2:$A$482,N$4,Results!$G$2:$G$482,"&gt;0"),IF(COUNTIFS(Results!$F$2:$F$482,$A21,Results!$A$2:$A$482,N$4,Results!$H$2:$H$482,"DNF")&gt;0,"DNF","•")))</f>
        <v/>
      </c>
      <c r="O21" s="20" t="str">
        <f aca="false">IF(COUNTIFS(Results!$F$2:$F$482,$A21,Results!$A$2:$A$482,O$4)=0,"",IF(COUNTIFS(Results!$F$2:$F$482,$A21,Results!$A$2:$A$482,O$4,Results!$G$2:$G$482,"&gt;0")&gt;0,_xlfn.MINIFS(Results!$G$2:$G$482,Results!$F$2:$F$482,$A21,Results!$A$2:$A$482,O$4,Results!$G$2:$G$482,"&gt;0"),IF(COUNTIFS(Results!$F$2:$F$482,$A21,Results!$A$2:$A$482,O$4,Results!$H$2:$H$482,"DNF")&gt;0,"DNF","•")))</f>
        <v/>
      </c>
      <c r="P21" s="20" t="str">
        <f aca="false">IF(COUNTIFS(Results!$F$2:$F$482,$A21,Results!$A$2:$A$482,P$4)=0,"",IF(COUNTIFS(Results!$F$2:$F$482,$A21,Results!$A$2:$A$482,P$4,Results!$G$2:$G$482,"&gt;0")&gt;0,_xlfn.MINIFS(Results!$G$2:$G$482,Results!$F$2:$F$482,$A21,Results!$A$2:$A$482,P$4,Results!$G$2:$G$482,"&gt;0"),IF(COUNTIFS(Results!$F$2:$F$482,$A21,Results!$A$2:$A$482,P$4,Results!$H$2:$H$482,"DNF")&gt;0,"DNF","•")))</f>
        <v/>
      </c>
      <c r="Q21" s="20" t="str">
        <f aca="false">IF(COUNTIFS(Results!$F$2:$F$482,$A21,Results!$A$2:$A$482,Q$4)=0,"",IF(COUNTIFS(Results!$F$2:$F$482,$A21,Results!$A$2:$A$482,Q$4,Results!$G$2:$G$482,"&gt;0")&gt;0,_xlfn.MINIFS(Results!$G$2:$G$482,Results!$F$2:$F$482,$A21,Results!$A$2:$A$482,Q$4,Results!$G$2:$G$482,"&gt;0"),IF(COUNTIFS(Results!$F$2:$F$482,$A21,Results!$A$2:$A$482,Q$4,Results!$H$2:$H$482,"DNF")&gt;0,"DNF","•")))</f>
        <v/>
      </c>
      <c r="R21" s="20" t="n">
        <f aca="false">IF(COUNTIFS(Results!$F$2:$F$482,$A21,Results!$A$2:$A$482,R$4)=0,"",IF(COUNTIFS(Results!$F$2:$F$482,$A21,Results!$A$2:$A$482,R$4,Results!$G$2:$G$482,"&gt;0")&gt;0,_xlfn.MINIFS(Results!$G$2:$G$482,Results!$F$2:$F$482,$A21,Results!$A$2:$A$482,R$4,Results!$G$2:$G$482,"&gt;0"),IF(COUNTIFS(Results!$F$2:$F$482,$A21,Results!$A$2:$A$482,R$4,Results!$H$2:$H$482,"DNF")&gt;0,"DNF","•")))</f>
        <v>46</v>
      </c>
      <c r="S21" s="20" t="str">
        <f aca="false">IF(COUNTIFS(Results!$F$2:$F$482,$A21,Results!$A$2:$A$482,S$4)=0,"",IF(COUNTIFS(Results!$F$2:$F$482,$A21,Results!$A$2:$A$482,S$4,Results!$G$2:$G$482,"&gt;0")&gt;0,_xlfn.MINIFS(Results!$G$2:$G$482,Results!$F$2:$F$482,$A21,Results!$A$2:$A$482,S$4,Results!$G$2:$G$482,"&gt;0"),IF(COUNTIFS(Results!$F$2:$F$482,$A21,Results!$A$2:$A$482,S$4,Results!$H$2:$H$482,"DNF")&gt;0,"DNF","•")))</f>
        <v/>
      </c>
      <c r="T21" s="20" t="str">
        <f aca="false">IF(COUNTIFS(Results!$F$2:$F$482,$A21,Results!$A$2:$A$482,T$4)=0,"",IF(COUNTIFS(Results!$F$2:$F$482,$A21,Results!$A$2:$A$482,T$4,Results!$G$2:$G$482,"&gt;0")&gt;0,_xlfn.MINIFS(Results!$G$2:$G$482,Results!$F$2:$F$482,$A21,Results!$A$2:$A$482,T$4,Results!$G$2:$G$482,"&gt;0"),IF(COUNTIFS(Results!$F$2:$F$482,$A21,Results!$A$2:$A$482,T$4,Results!$H$2:$H$482,"DNF")&gt;0,"DNF","•")))</f>
        <v/>
      </c>
      <c r="U21" s="20" t="str">
        <f aca="false">IF(COUNTIFS(Results!$F$2:$F$482,$A21,Results!$A$2:$A$482,U$4)=0,"",IF(COUNTIFS(Results!$F$2:$F$482,$A21,Results!$A$2:$A$482,U$4,Results!$G$2:$G$482,"&gt;0")&gt;0,_xlfn.MINIFS(Results!$G$2:$G$482,Results!$F$2:$F$482,$A21,Results!$A$2:$A$482,U$4,Results!$G$2:$G$482,"&gt;0"),IF(COUNTIFS(Results!$F$2:$F$482,$A21,Results!$A$2:$A$482,U$4,Results!$H$2:$H$482,"DNF")&gt;0,"DNF","•")))</f>
        <v/>
      </c>
      <c r="V21" s="20" t="str">
        <f aca="false">IF(COUNTIFS(Results!$F$2:$F$482,$A21,Results!$A$2:$A$482,V$4)=0,"",IF(COUNTIFS(Results!$F$2:$F$482,$A21,Results!$A$2:$A$482,V$4,Results!$G$2:$G$482,"&gt;0")&gt;0,_xlfn.MINIFS(Results!$G$2:$G$482,Results!$F$2:$F$482,$A21,Results!$A$2:$A$482,V$4,Results!$G$2:$G$482,"&gt;0"),IF(COUNTIFS(Results!$F$2:$F$482,$A21,Results!$A$2:$A$482,V$4,Results!$H$2:$H$482,"DNF")&gt;0,"DNF","•")))</f>
        <v/>
      </c>
      <c r="W21" s="20" t="n">
        <f aca="false">IF(COUNTIFS(Results!$F$2:$F$482,$A21,Results!$A$2:$A$482,W$4)=0,"",IF(COUNTIFS(Results!$F$2:$F$482,$A21,Results!$A$2:$A$482,W$4,Results!$G$2:$G$482,"&gt;0")&gt;0,_xlfn.MINIFS(Results!$G$2:$G$482,Results!$F$2:$F$482,$A21,Results!$A$2:$A$482,W$4,Results!$G$2:$G$482,"&gt;0"),IF(COUNTIFS(Results!$F$2:$F$482,$A21,Results!$A$2:$A$482,W$4,Results!$H$2:$H$482,"DNF")&gt;0,"DNF","•")))</f>
        <v>1</v>
      </c>
      <c r="X21" s="20" t="str">
        <f aca="false">IF(COUNTIFS(Results!$F$2:$F$482,$A21,Results!$A$2:$A$482,X$4)=0,"",IF(COUNTIFS(Results!$F$2:$F$482,$A21,Results!$A$2:$A$482,X$4,Results!$G$2:$G$482,"&gt;0")&gt;0,_xlfn.MINIFS(Results!$G$2:$G$482,Results!$F$2:$F$482,$A21,Results!$A$2:$A$482,X$4,Results!$G$2:$G$482,"&gt;0"),IF(COUNTIFS(Results!$F$2:$F$482,$A21,Results!$A$2:$A$482,X$4,Results!$H$2:$H$482,"DNF")&gt;0,"DNF","•")))</f>
        <v/>
      </c>
      <c r="Y21" s="20" t="str">
        <f aca="false">IF(COUNTIFS(Results!$F$2:$F$482,$A21,Results!$A$2:$A$482,Y$4)=0,"",IF(COUNTIFS(Results!$F$2:$F$482,$A21,Results!$A$2:$A$482,Y$4,Results!$G$2:$G$482,"&gt;0")&gt;0,_xlfn.MINIFS(Results!$G$2:$G$482,Results!$F$2:$F$482,$A21,Results!$A$2:$A$482,Y$4,Results!$G$2:$G$482,"&gt;0"),IF(COUNTIFS(Results!$F$2:$F$482,$A21,Results!$A$2:$A$482,Y$4,Results!$H$2:$H$482,"DNF")&gt;0,"DNF","•")))</f>
        <v/>
      </c>
      <c r="Z21" s="20" t="str">
        <f aca="false">IF(COUNTIFS(Results!$F$2:$F$482,$A21,Results!$A$2:$A$482,Z$4)=0,"",IF(COUNTIFS(Results!$F$2:$F$482,$A21,Results!$A$2:$A$482,Z$4,Results!$G$2:$G$482,"&gt;0")&gt;0,_xlfn.MINIFS(Results!$G$2:$G$482,Results!$F$2:$F$482,$A21,Results!$A$2:$A$482,Z$4,Results!$G$2:$G$482,"&gt;0"),IF(COUNTIFS(Results!$F$2:$F$482,$A21,Results!$A$2:$A$482,Z$4,Results!$H$2:$H$482,"DNF")&gt;0,"DNF","•")))</f>
        <v/>
      </c>
      <c r="AA21" s="20" t="str">
        <f aca="false">IF(COUNTIFS(Results!$F$2:$F$482,$A21,Results!$A$2:$A$482,AA$4)=0,"",IF(COUNTIFS(Results!$F$2:$F$482,$A21,Results!$A$2:$A$482,AA$4,Results!$G$2:$G$482,"&gt;0")&gt;0,_xlfn.MINIFS(Results!$G$2:$G$482,Results!$F$2:$F$482,$A21,Results!$A$2:$A$482,AA$4,Results!$G$2:$G$482,"&gt;0"),IF(COUNTIFS(Results!$F$2:$F$482,$A21,Results!$A$2:$A$482,AA$4,Results!$H$2:$H$482,"DNF")&gt;0,"DNF","•")))</f>
        <v/>
      </c>
      <c r="AB21" s="20" t="str">
        <f aca="false">IF(COUNTIFS(Results!$F$2:$F$482,$A21,Results!$A$2:$A$482,AB$4)=0,"",IF(COUNTIFS(Results!$F$2:$F$482,$A21,Results!$A$2:$A$482,AB$4,Results!$G$2:$G$482,"&gt;0")&gt;0,_xlfn.MINIFS(Results!$G$2:$G$482,Results!$F$2:$F$482,$A21,Results!$A$2:$A$482,AB$4,Results!$G$2:$G$482,"&gt;0"),IF(COUNTIFS(Results!$F$2:$F$482,$A21,Results!$A$2:$A$482,AB$4,Results!$H$2:$H$482,"DNF")&gt;0,"DNF","•")))</f>
        <v/>
      </c>
      <c r="AC21" s="20" t="str">
        <f aca="false">IF(COUNTIFS(Results!$F$2:$F$482,$A21,Results!$A$2:$A$482,AC$4)=0,"",IF(COUNTIFS(Results!$F$2:$F$482,$A21,Results!$A$2:$A$482,AC$4,Results!$G$2:$G$482,"&gt;0")&gt;0,_xlfn.MINIFS(Results!$G$2:$G$482,Results!$F$2:$F$482,$A21,Results!$A$2:$A$482,AC$4,Results!$G$2:$G$482,"&gt;0"),IF(COUNTIFS(Results!$F$2:$F$482,$A21,Results!$A$2:$A$482,AC$4,Results!$H$2:$H$482,"DNF")&gt;0,"DNF","•")))</f>
        <v/>
      </c>
      <c r="AD21" s="20" t="str">
        <f aca="false">IF(COUNTIFS(Results!$F$2:$F$482,$A21,Results!$A$2:$A$482,AD$4)=0,"",IF(COUNTIFS(Results!$F$2:$F$482,$A21,Results!$A$2:$A$482,AD$4,Results!$G$2:$G$482,"&gt;0")&gt;0,_xlfn.MINIFS(Results!$G$2:$G$482,Results!$F$2:$F$482,$A21,Results!$A$2:$A$482,AD$4,Results!$G$2:$G$482,"&gt;0"),IF(COUNTIFS(Results!$F$2:$F$482,$A21,Results!$A$2:$A$482,AD$4,Results!$H$2:$H$482,"DNF")&gt;0,"DNF","•")))</f>
        <v/>
      </c>
      <c r="AE21" s="20" t="str">
        <f aca="false">IF(COUNTIFS(Results!$F$2:$F$482,$A21,Results!$A$2:$A$482,AE$4)=0,"",IF(COUNTIFS(Results!$F$2:$F$482,$A21,Results!$A$2:$A$482,AE$4,Results!$G$2:$G$482,"&gt;0")&gt;0,_xlfn.MINIFS(Results!$G$2:$G$482,Results!$F$2:$F$482,$A21,Results!$A$2:$A$482,AE$4,Results!$G$2:$G$482,"&gt;0"),IF(COUNTIFS(Results!$F$2:$F$482,$A21,Results!$A$2:$A$482,AE$4,Results!$H$2:$H$482,"DNF")&gt;0,"DNF","•")))</f>
        <v/>
      </c>
      <c r="AF21" s="20" t="str">
        <f aca="false">IF(COUNTIFS(Results!$F$2:$F$482,$A21,Results!$A$2:$A$482,AF$4)=0,"",IF(COUNTIFS(Results!$F$2:$F$482,$A21,Results!$A$2:$A$482,AF$4,Results!$G$2:$G$482,"&gt;0")&gt;0,_xlfn.MINIFS(Results!$G$2:$G$482,Results!$F$2:$F$482,$A21,Results!$A$2:$A$482,AF$4,Results!$G$2:$G$482,"&gt;0"),IF(COUNTIFS(Results!$F$2:$F$482,$A21,Results!$A$2:$A$482,AF$4,Results!$H$2:$H$482,"DNF")&gt;0,"DNF","•")))</f>
        <v/>
      </c>
      <c r="AG21" s="20" t="str">
        <f aca="false">IF(COUNTIFS(Results!$F$2:$F$482,$A21,Results!$A$2:$A$482,AG$4)=0,"",IF(COUNTIFS(Results!$F$2:$F$482,$A21,Results!$A$2:$A$482,AG$4,Results!$G$2:$G$482,"&gt;0")&gt;0,_xlfn.MINIFS(Results!$G$2:$G$482,Results!$F$2:$F$482,$A21,Results!$A$2:$A$482,AG$4,Results!$G$2:$G$482,"&gt;0"),IF(COUNTIFS(Results!$F$2:$F$482,$A21,Results!$A$2:$A$482,AG$4,Results!$H$2:$H$482,"DNF")&gt;0,"DNF","•")))</f>
        <v/>
      </c>
      <c r="AH21" s="20" t="str">
        <f aca="false">IF(COUNTIFS(Results!$F$2:$F$482,$A21,Results!$A$2:$A$482,AH$4)=0,"",IF(COUNTIFS(Results!$F$2:$F$482,$A21,Results!$A$2:$A$482,AH$4,Results!$G$2:$G$482,"&gt;0")&gt;0,_xlfn.MINIFS(Results!$G$2:$G$482,Results!$F$2:$F$482,$A21,Results!$A$2:$A$482,AH$4,Results!$G$2:$G$482,"&gt;0"),IF(COUNTIFS(Results!$F$2:$F$482,$A21,Results!$A$2:$A$482,AH$4,Results!$H$2:$H$482,"DNF")&gt;0,"DNF","•")))</f>
        <v/>
      </c>
      <c r="AI21" s="20" t="str">
        <f aca="false">IF(COUNTIFS(Results!$F$2:$F$482,$A21,Results!$A$2:$A$482,AI$4)=0,"",IF(COUNTIFS(Results!$F$2:$F$482,$A21,Results!$A$2:$A$482,AI$4,Results!$G$2:$G$482,"&gt;0")&gt;0,_xlfn.MINIFS(Results!$G$2:$G$482,Results!$F$2:$F$482,$A21,Results!$A$2:$A$482,AI$4,Results!$G$2:$G$482,"&gt;0"),IF(COUNTIFS(Results!$F$2:$F$482,$A21,Results!$A$2:$A$482,AI$4,Results!$H$2:$H$482,"DNF")&gt;0,"DNF","•")))</f>
        <v/>
      </c>
      <c r="AJ21" s="20" t="n">
        <f aca="false">IF(COUNTIFS(Results!$F$2:$F$482,$A21,Results!$A$2:$A$482,AJ$4)=0,"",IF(COUNTIFS(Results!$F$2:$F$482,$A21,Results!$A$2:$A$482,AJ$4,Results!$G$2:$G$482,"&gt;0")&gt;0,_xlfn.MINIFS(Results!$G$2:$G$482,Results!$F$2:$F$482,$A21,Results!$A$2:$A$482,AJ$4,Results!$G$2:$G$482,"&gt;0"),IF(COUNTIFS(Results!$F$2:$F$482,$A21,Results!$A$2:$A$482,AJ$4,Results!$H$2:$H$482,"DNF")&gt;0,"DNF","•")))</f>
        <v>4</v>
      </c>
      <c r="AK21" s="20" t="str">
        <f aca="false">IF(COUNTIFS(Results!$F$2:$F$482,$A21,Results!$A$2:$A$482,AK$4)=0,"",IF(COUNTIFS(Results!$F$2:$F$482,$A21,Results!$A$2:$A$482,AK$4,Results!$G$2:$G$482,"&gt;0")&gt;0,_xlfn.MINIFS(Results!$G$2:$G$482,Results!$F$2:$F$482,$A21,Results!$A$2:$A$482,AK$4,Results!$G$2:$G$482,"&gt;0"),IF(COUNTIFS(Results!$F$2:$F$482,$A21,Results!$A$2:$A$482,AK$4,Results!$H$2:$H$482,"DNF")&gt;0,"DNF","•")))</f>
        <v/>
      </c>
      <c r="AL21" s="20" t="str">
        <f aca="false">IF(COUNTIFS(Results!$F$2:$F$482,$A21,Results!$A$2:$A$482,AL$4)=0,"",IF(COUNTIFS(Results!$F$2:$F$482,$A21,Results!$A$2:$A$482,AL$4,Results!$G$2:$G$482,"&gt;0")&gt;0,_xlfn.MINIFS(Results!$G$2:$G$482,Results!$F$2:$F$482,$A21,Results!$A$2:$A$482,AL$4,Results!$G$2:$G$482,"&gt;0"),IF(COUNTIFS(Results!$F$2:$F$482,$A21,Results!$A$2:$A$482,AL$4,Results!$H$2:$H$482,"DNF")&gt;0,"DNF","•")))</f>
        <v/>
      </c>
      <c r="AM21" s="20" t="n">
        <f aca="false">IF(COUNTIFS(Results!$F$2:$F$482,$A21,Results!$A$2:$A$482,AM$4)=0,"",IF(COUNTIFS(Results!$F$2:$F$482,$A21,Results!$A$2:$A$482,AM$4,Results!$G$2:$G$482,"&gt;0")&gt;0,_xlfn.MINIFS(Results!$G$2:$G$482,Results!$F$2:$F$482,$A21,Results!$A$2:$A$482,AM$4,Results!$G$2:$G$482,"&gt;0"),IF(COUNTIFS(Results!$F$2:$F$482,$A21,Results!$A$2:$A$482,AM$4,Results!$H$2:$H$482,"DNF")&gt;0,"DNF","•")))</f>
        <v>6</v>
      </c>
      <c r="AN21" s="20" t="str">
        <f aca="false">IF(COUNTIFS(Results!$F$2:$F$482,$A21,Results!$A$2:$A$482,AN$4)=0,"",IF(COUNTIFS(Results!$F$2:$F$482,$A21,Results!$A$2:$A$482,AN$4,Results!$G$2:$G$482,"&gt;0")&gt;0,_xlfn.MINIFS(Results!$G$2:$G$482,Results!$F$2:$F$482,$A21,Results!$A$2:$A$482,AN$4,Results!$G$2:$G$482,"&gt;0"),IF(COUNTIFS(Results!$F$2:$F$482,$A21,Results!$A$2:$A$482,AN$4,Results!$H$2:$H$482,"DNF")&gt;0,"DNF","•")))</f>
        <v/>
      </c>
      <c r="AO21" s="20" t="str">
        <f aca="false">IF(COUNTIFS(Results!$F$2:$F$482,$A21,Results!$A$2:$A$482,AO$4)=0,"",IF(COUNTIFS(Results!$F$2:$F$482,$A21,Results!$A$2:$A$482,AO$4,Results!$G$2:$G$482,"&gt;0")&gt;0,_xlfn.MINIFS(Results!$G$2:$G$482,Results!$F$2:$F$482,$A21,Results!$A$2:$A$482,AO$4,Results!$G$2:$G$482,"&gt;0"),IF(COUNTIFS(Results!$F$2:$F$482,$A21,Results!$A$2:$A$482,AO$4,Results!$H$2:$H$482,"DNF")&gt;0,"DNF","•")))</f>
        <v/>
      </c>
      <c r="AP21" s="20" t="str">
        <f aca="false">IF(COUNTIFS(Results!$F$2:$F$482,$A21,Results!$A$2:$A$482,AP$4)=0,"",IF(COUNTIFS(Results!$F$2:$F$482,$A21,Results!$A$2:$A$482,AP$4,Results!$G$2:$G$482,"&gt;0")&gt;0,_xlfn.MINIFS(Results!$G$2:$G$482,Results!$F$2:$F$482,$A21,Results!$A$2:$A$482,AP$4,Results!$G$2:$G$482,"&gt;0"),IF(COUNTIFS(Results!$F$2:$F$482,$A21,Results!$A$2:$A$482,AP$4,Results!$H$2:$H$482,"DNF")&gt;0,"DNF","•")))</f>
        <v/>
      </c>
      <c r="AQ21" s="20" t="str">
        <f aca="false">IF(COUNTIFS(Results!$F$2:$F$482,$A21,Results!$A$2:$A$482,AQ$4)=0,"",IF(COUNTIFS(Results!$F$2:$F$482,$A21,Results!$A$2:$A$482,AQ$4,Results!$G$2:$G$482,"&gt;0")&gt;0,_xlfn.MINIFS(Results!$G$2:$G$482,Results!$F$2:$F$482,$A21,Results!$A$2:$A$482,AQ$4,Results!$G$2:$G$482,"&gt;0"),IF(COUNTIFS(Results!$F$2:$F$482,$A21,Results!$A$2:$A$482,AQ$4,Results!$H$2:$H$482,"DNF")&gt;0,"DNF","•")))</f>
        <v/>
      </c>
      <c r="AR21" s="20" t="n">
        <f aca="false">IF(COUNTIFS(Results!$F$2:$F$482,$A21,Results!$A$2:$A$482,AR$4)=0,"",IF(COUNTIFS(Results!$F$2:$F$482,$A21,Results!$A$2:$A$482,AR$4,Results!$G$2:$G$482,"&gt;0")&gt;0,_xlfn.MINIFS(Results!$G$2:$G$482,Results!$F$2:$F$482,$A21,Results!$A$2:$A$482,AR$4,Results!$G$2:$G$482,"&gt;0"),IF(COUNTIFS(Results!$F$2:$F$482,$A21,Results!$A$2:$A$482,AR$4,Results!$H$2:$H$482,"DNF")&gt;0,"DNF","•")))</f>
        <v>36</v>
      </c>
      <c r="AS21" s="20" t="n">
        <f aca="false">IF(COUNTIFS(Results!$F$2:$F$482,$A21,Results!$A$2:$A$482,AS$4)=0,"",IF(COUNTIFS(Results!$F$2:$F$482,$A21,Results!$A$2:$A$482,AS$4,Results!$G$2:$G$482,"&gt;0")&gt;0,_xlfn.MINIFS(Results!$G$2:$G$482,Results!$F$2:$F$482,$A21,Results!$A$2:$A$482,AS$4,Results!$G$2:$G$482,"&gt;0"),IF(COUNTIFS(Results!$F$2:$F$482,$A21,Results!$A$2:$A$482,AS$4,Results!$H$2:$H$482,"DNF")&gt;0,"DNF","•")))</f>
        <v>3</v>
      </c>
      <c r="AT21" s="20" t="n">
        <f aca="false">IF(COUNTIFS(Results!$F$2:$F$482,$A21,Results!$A$2:$A$482,AT$4)=0,"",IF(COUNTIFS(Results!$F$2:$F$482,$A21,Results!$A$2:$A$482,AT$4,Results!$G$2:$G$482,"&gt;0")&gt;0,_xlfn.MINIFS(Results!$G$2:$G$482,Results!$F$2:$F$482,$A21,Results!$A$2:$A$482,AT$4,Results!$G$2:$G$482,"&gt;0"),IF(COUNTIFS(Results!$F$2:$F$482,$A21,Results!$A$2:$A$482,AT$4,Results!$H$2:$H$482,"DNF")&gt;0,"DNF","•")))</f>
        <v>3</v>
      </c>
      <c r="AU21" s="20" t="str">
        <f aca="false">IF(COUNTIFS(Results!$F$2:$F$482,$A21,Results!$A$2:$A$482,AU$4)=0,"",IF(COUNTIFS(Results!$F$2:$F$482,$A21,Results!$A$2:$A$482,AU$4,Results!$G$2:$G$482,"&gt;0")&gt;0,_xlfn.MINIFS(Results!$G$2:$G$482,Results!$F$2:$F$482,$A21,Results!$A$2:$A$482,AU$4,Results!$G$2:$G$482,"&gt;0"),IF(COUNTIFS(Results!$F$2:$F$482,$A21,Results!$A$2:$A$482,AU$4,Results!$H$2:$H$482,"DNF")&gt;0,"DNF","•")))</f>
        <v/>
      </c>
      <c r="AV21" s="20" t="str">
        <f aca="false">IF(COUNTIFS(Results!$F$2:$F$482,$A21,Results!$A$2:$A$482,AV$4)=0,"",IF(COUNTIFS(Results!$F$2:$F$482,$A21,Results!$A$2:$A$482,AV$4,Results!$G$2:$G$482,"&gt;0")&gt;0,_xlfn.MINIFS(Results!$G$2:$G$482,Results!$F$2:$F$482,$A21,Results!$A$2:$A$482,AV$4,Results!$G$2:$G$482,"&gt;0"),IF(COUNTIFS(Results!$F$2:$F$482,$A21,Results!$A$2:$A$482,AV$4,Results!$H$2:$H$482,"DNF")&gt;0,"DNF","•")))</f>
        <v/>
      </c>
      <c r="AW21" s="20" t="str">
        <f aca="false">IF(COUNTIFS(Results!$F$2:$F$482,$A21,Results!$A$2:$A$482,AW$4)=0,"",IF(COUNTIFS(Results!$F$2:$F$482,$A21,Results!$A$2:$A$482,AW$4,Results!$G$2:$G$482,"&gt;0")&gt;0,_xlfn.MINIFS(Results!$G$2:$G$482,Results!$F$2:$F$482,$A21,Results!$A$2:$A$482,AW$4,Results!$G$2:$G$482,"&gt;0"),IF(COUNTIFS(Results!$F$2:$F$482,$A21,Results!$A$2:$A$482,AW$4,Results!$H$2:$H$482,"DNF")&gt;0,"DNF","•")))</f>
        <v/>
      </c>
      <c r="AX21" s="20" t="n">
        <f aca="false">IF(COUNTIFS(Results!$F$2:$F$482,$A21,Results!$A$2:$A$482,AX$4)=0,"",IF(COUNTIFS(Results!$F$2:$F$482,$A21,Results!$A$2:$A$482,AX$4,Results!$G$2:$G$482,"&gt;0")&gt;0,_xlfn.MINIFS(Results!$G$2:$G$482,Results!$F$2:$F$482,$A21,Results!$A$2:$A$482,AX$4,Results!$G$2:$G$482,"&gt;0"),IF(COUNTIFS(Results!$F$2:$F$482,$A21,Results!$A$2:$A$482,AX$4,Results!$H$2:$H$482,"DNF")&gt;0,"DNF","•")))</f>
        <v>15</v>
      </c>
      <c r="AY21" s="20" t="str">
        <f aca="false">IF(COUNTIFS(Results!$F$2:$F$482,$A21,Results!$A$2:$A$482,AY$4)=0,"",IF(COUNTIFS(Results!$F$2:$F$482,$A21,Results!$A$2:$A$482,AY$4,Results!$G$2:$G$482,"&gt;0")&gt;0,_xlfn.MINIFS(Results!$G$2:$G$482,Results!$F$2:$F$482,$A21,Results!$A$2:$A$482,AY$4,Results!$G$2:$G$482,"&gt;0"),IF(COUNTIFS(Results!$F$2:$F$482,$A21,Results!$A$2:$A$482,AY$4,Results!$H$2:$H$482,"DNF")&gt;0,"DNF","•")))</f>
        <v/>
      </c>
      <c r="AZ21" s="20" t="str">
        <f aca="false">IF(COUNTIFS(Results!$F$2:$F$482,$A21,Results!$A$2:$A$482,AZ$4)=0,"",IF(COUNTIFS(Results!$F$2:$F$482,$A21,Results!$A$2:$A$482,AZ$4,Results!$G$2:$G$482,"&gt;0")&gt;0,_xlfn.MINIFS(Results!$G$2:$G$482,Results!$F$2:$F$482,$A21,Results!$A$2:$A$482,AZ$4,Results!$G$2:$G$482,"&gt;0"),IF(COUNTIFS(Results!$F$2:$F$482,$A21,Results!$A$2:$A$482,AZ$4,Results!$H$2:$H$482,"DNF")&gt;0,"DNF","•")))</f>
        <v/>
      </c>
      <c r="BA21" s="20" t="str">
        <f aca="false">IF(COUNTIFS(Results!$F$2:$F$482,$A21,Results!$A$2:$A$482,BA$4)=0,"",IF(COUNTIFS(Results!$F$2:$F$482,$A21,Results!$A$2:$A$482,BA$4,Results!$G$2:$G$482,"&gt;0")&gt;0,_xlfn.MINIFS(Results!$G$2:$G$482,Results!$F$2:$F$482,$A21,Results!$A$2:$A$482,BA$4,Results!$G$2:$G$482,"&gt;0"),IF(COUNTIFS(Results!$F$2:$F$482,$A21,Results!$A$2:$A$482,BA$4,Results!$H$2:$H$482,"DNF")&gt;0,"DNF","•")))</f>
        <v/>
      </c>
      <c r="BB21" s="20" t="str">
        <f aca="false">IF(COUNTIFS(Results!$F$2:$F$482,$A21,Results!$A$2:$A$482,BB$4)=0,"",IF(COUNTIFS(Results!$F$2:$F$482,$A21,Results!$A$2:$A$482,BB$4,Results!$G$2:$G$482,"&gt;0")&gt;0,_xlfn.MINIFS(Results!$G$2:$G$482,Results!$F$2:$F$482,$A21,Results!$A$2:$A$482,BB$4,Results!$G$2:$G$482,"&gt;0"),IF(COUNTIFS(Results!$F$2:$F$482,$A21,Results!$A$2:$A$482,BB$4,Results!$H$2:$H$482,"DNF")&gt;0,"DNF","•")))</f>
        <v/>
      </c>
      <c r="BC21" s="20" t="str">
        <f aca="false">IF(COUNTIFS(Results!$F$2:$F$482,$A21,Results!$A$2:$A$482,BC$4)=0,"",IF(COUNTIFS(Results!$F$2:$F$482,$A21,Results!$A$2:$A$482,BC$4,Results!$G$2:$G$482,"&gt;0")&gt;0,_xlfn.MINIFS(Results!$G$2:$G$482,Results!$F$2:$F$482,$A21,Results!$A$2:$A$482,BC$4,Results!$G$2:$G$482,"&gt;0"),IF(COUNTIFS(Results!$F$2:$F$482,$A21,Results!$A$2:$A$482,BC$4,Results!$H$2:$H$482,"DNF")&gt;0,"DNF","•")))</f>
        <v/>
      </c>
      <c r="BD21" s="20" t="str">
        <f aca="false">IF(COUNTIFS(Results!$F$2:$F$482,$A21,Results!$A$2:$A$482,BD$4)=0,"",IF(COUNTIFS(Results!$F$2:$F$482,$A21,Results!$A$2:$A$482,BD$4,Results!$G$2:$G$482,"&gt;0")&gt;0,_xlfn.MINIFS(Results!$G$2:$G$482,Results!$F$2:$F$482,$A21,Results!$A$2:$A$482,BD$4,Results!$G$2:$G$482,"&gt;0"),IF(COUNTIFS(Results!$F$2:$F$482,$A21,Results!$A$2:$A$482,BD$4,Results!$H$2:$H$482,"DNF")&gt;0,"DNF","•")))</f>
        <v/>
      </c>
      <c r="BE21" s="20" t="n">
        <f aca="false">IF(COUNTIFS(Results!$F$2:$F$482,$A21,Results!$A$2:$A$482,BE$4)=0,"",IF(COUNTIFS(Results!$F$2:$F$482,$A21,Results!$A$2:$A$482,BE$4,Results!$G$2:$G$482,"&gt;0")&gt;0,_xlfn.MINIFS(Results!$G$2:$G$482,Results!$F$2:$F$482,$A21,Results!$A$2:$A$482,BE$4,Results!$G$2:$G$482,"&gt;0"),IF(COUNTIFS(Results!$F$2:$F$482,$A21,Results!$A$2:$A$482,BE$4,Results!$H$2:$H$482,"DNF")&gt;0,"DNF","•")))</f>
        <v>1</v>
      </c>
      <c r="BF21" s="20" t="str">
        <f aca="false">IF(COUNTIFS(Results!$F$2:$F$482,$A21,Results!$A$2:$A$482,BF$4)=0,"",IF(COUNTIFS(Results!$F$2:$F$482,$A21,Results!$A$2:$A$482,BF$4,Results!$G$2:$G$482,"&gt;0")&gt;0,_xlfn.MINIFS(Results!$G$2:$G$482,Results!$F$2:$F$482,$A21,Results!$A$2:$A$482,BF$4,Results!$G$2:$G$482,"&gt;0"),IF(COUNTIFS(Results!$F$2:$F$482,$A21,Results!$A$2:$A$482,BF$4,Results!$H$2:$H$482,"DNF")&gt;0,"DNF","•")))</f>
        <v/>
      </c>
      <c r="BG21" s="20" t="n">
        <f aca="false">IF(COUNTIFS(Results!$F$2:$F$482,$A21,Results!$A$2:$A$482,BG$4)=0,"",IF(COUNTIFS(Results!$F$2:$F$482,$A21,Results!$A$2:$A$482,BG$4,Results!$G$2:$G$482,"&gt;0")&gt;0,_xlfn.MINIFS(Results!$G$2:$G$482,Results!$F$2:$F$482,$A21,Results!$A$2:$A$482,BG$4,Results!$G$2:$G$482,"&gt;0"),IF(COUNTIFS(Results!$F$2:$F$482,$A21,Results!$A$2:$A$482,BG$4,Results!$H$2:$H$482,"DNF")&gt;0,"DNF","•")))</f>
        <v>2</v>
      </c>
      <c r="BH21" s="20" t="str">
        <f aca="false">IF(COUNTIFS(Results!$F$2:$F$482,$A21,Results!$A$2:$A$482,BH$4)=0,"",IF(COUNTIFS(Results!$F$2:$F$482,$A21,Results!$A$2:$A$482,BH$4,Results!$G$2:$G$482,"&gt;0")&gt;0,_xlfn.MINIFS(Results!$G$2:$G$482,Results!$F$2:$F$482,$A21,Results!$A$2:$A$482,BH$4,Results!$G$2:$G$482,"&gt;0"),IF(COUNTIFS(Results!$F$2:$F$482,$A21,Results!$A$2:$A$482,BH$4,Results!$H$2:$H$482,"DNF")&gt;0,"DNF","•")))</f>
        <v/>
      </c>
      <c r="BI21" s="20" t="n">
        <f aca="false">IF(COUNTIFS(Results!$F$2:$F$482,$A21,Results!$A$2:$A$482,BI$4)=0,"",IF(COUNTIFS(Results!$F$2:$F$482,$A21,Results!$A$2:$A$482,BI$4,Results!$G$2:$G$482,"&gt;0")&gt;0,_xlfn.MINIFS(Results!$G$2:$G$482,Results!$F$2:$F$482,$A21,Results!$A$2:$A$482,BI$4,Results!$G$2:$G$482,"&gt;0"),IF(COUNTIFS(Results!$F$2:$F$482,$A21,Results!$A$2:$A$482,BI$4,Results!$H$2:$H$482,"DNF")&gt;0,"DNF","•")))</f>
        <v>1</v>
      </c>
      <c r="BJ21" s="20" t="str">
        <f aca="false">IF(COUNTIFS(Results!$F$2:$F$482,$A21,Results!$A$2:$A$482,BJ$4)=0,"",IF(COUNTIFS(Results!$F$2:$F$482,$A21,Results!$A$2:$A$482,BJ$4,Results!$G$2:$G$482,"&gt;0")&gt;0,_xlfn.MINIFS(Results!$G$2:$G$482,Results!$F$2:$F$482,$A21,Results!$A$2:$A$482,BJ$4,Results!$G$2:$G$482,"&gt;0"),IF(COUNTIFS(Results!$F$2:$F$482,$A21,Results!$A$2:$A$482,BJ$4,Results!$H$2:$H$482,"DNF")&gt;0,"DNF","•")))</f>
        <v/>
      </c>
      <c r="BK21" s="20" t="str">
        <f aca="false">IF(COUNTIFS(Results!$F$2:$F$482,$A21,Results!$A$2:$A$482,BK$4)=0,"",IF(COUNTIFS(Results!$F$2:$F$482,$A21,Results!$A$2:$A$482,BK$4,Results!$G$2:$G$482,"&gt;0")&gt;0,_xlfn.MINIFS(Results!$G$2:$G$482,Results!$F$2:$F$482,$A21,Results!$A$2:$A$482,BK$4,Results!$G$2:$G$482,"&gt;0"),IF(COUNTIFS(Results!$F$2:$F$482,$A21,Results!$A$2:$A$482,BK$4,Results!$H$2:$H$482,"DNF")&gt;0,"DNF","•")))</f>
        <v/>
      </c>
      <c r="BL21" s="20" t="str">
        <f aca="false">IF(COUNTIFS(Results!$F$2:$F$482,$A21,Results!$A$2:$A$482,BL$4)=0,"",IF(COUNTIFS(Results!$F$2:$F$482,$A21,Results!$A$2:$A$482,BL$4,Results!$G$2:$G$482,"&gt;0")&gt;0,_xlfn.MINIFS(Results!$G$2:$G$482,Results!$F$2:$F$482,$A21,Results!$A$2:$A$482,BL$4,Results!$G$2:$G$482,"&gt;0"),IF(COUNTIFS(Results!$F$2:$F$482,$A21,Results!$A$2:$A$482,BL$4,Results!$H$2:$H$482,"DNF")&gt;0,"DNF","•")))</f>
        <v/>
      </c>
    </row>
    <row r="22" customFormat="false" ht="15" hidden="false" customHeight="false" outlineLevel="0" collapsed="false">
      <c r="A22" s="7" t="str">
        <f aca="false">Riders!A20</f>
        <v>Julia Kołakowska</v>
      </c>
      <c r="B22" s="20" t="str">
        <f aca="false">IF(COUNTIFS(Results!$F$2:$F$482,$A22,Results!$A$2:$A$482,B$4)=0,"",IF(COUNTIFS(Results!$F$2:$F$482,$A22,Results!$A$2:$A$482,B$4,Results!$G$2:$G$482,"&gt;0")&gt;0,_xlfn.MINIFS(Results!$G$2:$G$482,Results!$F$2:$F$482,$A22,Results!$A$2:$A$482,B$4,Results!$G$2:$G$482,"&gt;0"),IF(COUNTIFS(Results!$F$2:$F$482,$A22,Results!$A$2:$A$482,B$4,Results!$H$2:$H$482,"DNF")&gt;0,"DNF","•")))</f>
        <v/>
      </c>
      <c r="C22" s="20" t="str">
        <f aca="false">IF(COUNTIFS(Results!$F$2:$F$482,$A22,Results!$A$2:$A$482,C$4)=0,"",IF(COUNTIFS(Results!$F$2:$F$482,$A22,Results!$A$2:$A$482,C$4,Results!$G$2:$G$482,"&gt;0")&gt;0,_xlfn.MINIFS(Results!$G$2:$G$482,Results!$F$2:$F$482,$A22,Results!$A$2:$A$482,C$4,Results!$G$2:$G$482,"&gt;0"),IF(COUNTIFS(Results!$F$2:$F$482,$A22,Results!$A$2:$A$482,C$4,Results!$H$2:$H$482,"DNF")&gt;0,"DNF","•")))</f>
        <v/>
      </c>
      <c r="D22" s="20" t="str">
        <f aca="false">IF(COUNTIFS(Results!$F$2:$F$482,$A22,Results!$A$2:$A$482,D$4)=0,"",IF(COUNTIFS(Results!$F$2:$F$482,$A22,Results!$A$2:$A$482,D$4,Results!$G$2:$G$482,"&gt;0")&gt;0,_xlfn.MINIFS(Results!$G$2:$G$482,Results!$F$2:$F$482,$A22,Results!$A$2:$A$482,D$4,Results!$G$2:$G$482,"&gt;0"),IF(COUNTIFS(Results!$F$2:$F$482,$A22,Results!$A$2:$A$482,D$4,Results!$H$2:$H$482,"DNF")&gt;0,"DNF","•")))</f>
        <v/>
      </c>
      <c r="E22" s="20" t="str">
        <f aca="false">IF(COUNTIFS(Results!$F$2:$F$482,$A22,Results!$A$2:$A$482,E$4)=0,"",IF(COUNTIFS(Results!$F$2:$F$482,$A22,Results!$A$2:$A$482,E$4,Results!$G$2:$G$482,"&gt;0")&gt;0,_xlfn.MINIFS(Results!$G$2:$G$482,Results!$F$2:$F$482,$A22,Results!$A$2:$A$482,E$4,Results!$G$2:$G$482,"&gt;0"),IF(COUNTIFS(Results!$F$2:$F$482,$A22,Results!$A$2:$A$482,E$4,Results!$H$2:$H$482,"DNF")&gt;0,"DNF","•")))</f>
        <v/>
      </c>
      <c r="F22" s="20" t="str">
        <f aca="false">IF(COUNTIFS(Results!$F$2:$F$482,$A22,Results!$A$2:$A$482,F$4)=0,"",IF(COUNTIFS(Results!$F$2:$F$482,$A22,Results!$A$2:$A$482,F$4,Results!$G$2:$G$482,"&gt;0")&gt;0,_xlfn.MINIFS(Results!$G$2:$G$482,Results!$F$2:$F$482,$A22,Results!$A$2:$A$482,F$4,Results!$G$2:$G$482,"&gt;0"),IF(COUNTIFS(Results!$F$2:$F$482,$A22,Results!$A$2:$A$482,F$4,Results!$H$2:$H$482,"DNF")&gt;0,"DNF","•")))</f>
        <v/>
      </c>
      <c r="G22" s="20" t="str">
        <f aca="false">IF(COUNTIFS(Results!$F$2:$F$482,$A22,Results!$A$2:$A$482,G$4)=0,"",IF(COUNTIFS(Results!$F$2:$F$482,$A22,Results!$A$2:$A$482,G$4,Results!$G$2:$G$482,"&gt;0")&gt;0,_xlfn.MINIFS(Results!$G$2:$G$482,Results!$F$2:$F$482,$A22,Results!$A$2:$A$482,G$4,Results!$G$2:$G$482,"&gt;0"),IF(COUNTIFS(Results!$F$2:$F$482,$A22,Results!$A$2:$A$482,G$4,Results!$H$2:$H$482,"DNF")&gt;0,"DNF","•")))</f>
        <v/>
      </c>
      <c r="H22" s="20" t="str">
        <f aca="false">IF(COUNTIFS(Results!$F$2:$F$482,$A22,Results!$A$2:$A$482,H$4)=0,"",IF(COUNTIFS(Results!$F$2:$F$482,$A22,Results!$A$2:$A$482,H$4,Results!$G$2:$G$482,"&gt;0")&gt;0,_xlfn.MINIFS(Results!$G$2:$G$482,Results!$F$2:$F$482,$A22,Results!$A$2:$A$482,H$4,Results!$G$2:$G$482,"&gt;0"),IF(COUNTIFS(Results!$F$2:$F$482,$A22,Results!$A$2:$A$482,H$4,Results!$H$2:$H$482,"DNF")&gt;0,"DNF","•")))</f>
        <v/>
      </c>
      <c r="I22" s="20" t="str">
        <f aca="false">IF(COUNTIFS(Results!$F$2:$F$482,$A22,Results!$A$2:$A$482,I$4)=0,"",IF(COUNTIFS(Results!$F$2:$F$482,$A22,Results!$A$2:$A$482,I$4,Results!$G$2:$G$482,"&gt;0")&gt;0,_xlfn.MINIFS(Results!$G$2:$G$482,Results!$F$2:$F$482,$A22,Results!$A$2:$A$482,I$4,Results!$G$2:$G$482,"&gt;0"),IF(COUNTIFS(Results!$F$2:$F$482,$A22,Results!$A$2:$A$482,I$4,Results!$H$2:$H$482,"DNF")&gt;0,"DNF","•")))</f>
        <v/>
      </c>
      <c r="J22" s="20" t="str">
        <f aca="false">IF(COUNTIFS(Results!$F$2:$F$482,$A22,Results!$A$2:$A$482,J$4)=0,"",IF(COUNTIFS(Results!$F$2:$F$482,$A22,Results!$A$2:$A$482,J$4,Results!$G$2:$G$482,"&gt;0")&gt;0,_xlfn.MINIFS(Results!$G$2:$G$482,Results!$F$2:$F$482,$A22,Results!$A$2:$A$482,J$4,Results!$G$2:$G$482,"&gt;0"),IF(COUNTIFS(Results!$F$2:$F$482,$A22,Results!$A$2:$A$482,J$4,Results!$H$2:$H$482,"DNF")&gt;0,"DNF","•")))</f>
        <v/>
      </c>
      <c r="K22" s="20" t="str">
        <f aca="false">IF(COUNTIFS(Results!$F$2:$F$482,$A22,Results!$A$2:$A$482,K$4)=0,"",IF(COUNTIFS(Results!$F$2:$F$482,$A22,Results!$A$2:$A$482,K$4,Results!$G$2:$G$482,"&gt;0")&gt;0,_xlfn.MINIFS(Results!$G$2:$G$482,Results!$F$2:$F$482,$A22,Results!$A$2:$A$482,K$4,Results!$G$2:$G$482,"&gt;0"),IF(COUNTIFS(Results!$F$2:$F$482,$A22,Results!$A$2:$A$482,K$4,Results!$H$2:$H$482,"DNF")&gt;0,"DNF","•")))</f>
        <v/>
      </c>
      <c r="L22" s="20" t="str">
        <f aca="false">IF(COUNTIFS(Results!$F$2:$F$482,$A22,Results!$A$2:$A$482,L$4)=0,"",IF(COUNTIFS(Results!$F$2:$F$482,$A22,Results!$A$2:$A$482,L$4,Results!$G$2:$G$482,"&gt;0")&gt;0,_xlfn.MINIFS(Results!$G$2:$G$482,Results!$F$2:$F$482,$A22,Results!$A$2:$A$482,L$4,Results!$G$2:$G$482,"&gt;0"),IF(COUNTIFS(Results!$F$2:$F$482,$A22,Results!$A$2:$A$482,L$4,Results!$H$2:$H$482,"DNF")&gt;0,"DNF","•")))</f>
        <v/>
      </c>
      <c r="M22" s="20" t="str">
        <f aca="false">IF(COUNTIFS(Results!$F$2:$F$482,$A22,Results!$A$2:$A$482,M$4)=0,"",IF(COUNTIFS(Results!$F$2:$F$482,$A22,Results!$A$2:$A$482,M$4,Results!$G$2:$G$482,"&gt;0")&gt;0,_xlfn.MINIFS(Results!$G$2:$G$482,Results!$F$2:$F$482,$A22,Results!$A$2:$A$482,M$4,Results!$G$2:$G$482,"&gt;0"),IF(COUNTIFS(Results!$F$2:$F$482,$A22,Results!$A$2:$A$482,M$4,Results!$H$2:$H$482,"DNF")&gt;0,"DNF","•")))</f>
        <v/>
      </c>
      <c r="N22" s="20" t="str">
        <f aca="false">IF(COUNTIFS(Results!$F$2:$F$482,$A22,Results!$A$2:$A$482,N$4)=0,"",IF(COUNTIFS(Results!$F$2:$F$482,$A22,Results!$A$2:$A$482,N$4,Results!$G$2:$G$482,"&gt;0")&gt;0,_xlfn.MINIFS(Results!$G$2:$G$482,Results!$F$2:$F$482,$A22,Results!$A$2:$A$482,N$4,Results!$G$2:$G$482,"&gt;0"),IF(COUNTIFS(Results!$F$2:$F$482,$A22,Results!$A$2:$A$482,N$4,Results!$H$2:$H$482,"DNF")&gt;0,"DNF","•")))</f>
        <v/>
      </c>
      <c r="O22" s="20" t="str">
        <f aca="false">IF(COUNTIFS(Results!$F$2:$F$482,$A22,Results!$A$2:$A$482,O$4)=0,"",IF(COUNTIFS(Results!$F$2:$F$482,$A22,Results!$A$2:$A$482,O$4,Results!$G$2:$G$482,"&gt;0")&gt;0,_xlfn.MINIFS(Results!$G$2:$G$482,Results!$F$2:$F$482,$A22,Results!$A$2:$A$482,O$4,Results!$G$2:$G$482,"&gt;0"),IF(COUNTIFS(Results!$F$2:$F$482,$A22,Results!$A$2:$A$482,O$4,Results!$H$2:$H$482,"DNF")&gt;0,"DNF","•")))</f>
        <v/>
      </c>
      <c r="P22" s="20" t="str">
        <f aca="false">IF(COUNTIFS(Results!$F$2:$F$482,$A22,Results!$A$2:$A$482,P$4)=0,"",IF(COUNTIFS(Results!$F$2:$F$482,$A22,Results!$A$2:$A$482,P$4,Results!$G$2:$G$482,"&gt;0")&gt;0,_xlfn.MINIFS(Results!$G$2:$G$482,Results!$F$2:$F$482,$A22,Results!$A$2:$A$482,P$4,Results!$G$2:$G$482,"&gt;0"),IF(COUNTIFS(Results!$F$2:$F$482,$A22,Results!$A$2:$A$482,P$4,Results!$H$2:$H$482,"DNF")&gt;0,"DNF","•")))</f>
        <v/>
      </c>
      <c r="Q22" s="20" t="str">
        <f aca="false">IF(COUNTIFS(Results!$F$2:$F$482,$A22,Results!$A$2:$A$482,Q$4)=0,"",IF(COUNTIFS(Results!$F$2:$F$482,$A22,Results!$A$2:$A$482,Q$4,Results!$G$2:$G$482,"&gt;0")&gt;0,_xlfn.MINIFS(Results!$G$2:$G$482,Results!$F$2:$F$482,$A22,Results!$A$2:$A$482,Q$4,Results!$G$2:$G$482,"&gt;0"),IF(COUNTIFS(Results!$F$2:$F$482,$A22,Results!$A$2:$A$482,Q$4,Results!$H$2:$H$482,"DNF")&gt;0,"DNF","•")))</f>
        <v/>
      </c>
      <c r="R22" s="20" t="str">
        <f aca="false">IF(COUNTIFS(Results!$F$2:$F$482,$A22,Results!$A$2:$A$482,R$4)=0,"",IF(COUNTIFS(Results!$F$2:$F$482,$A22,Results!$A$2:$A$482,R$4,Results!$G$2:$G$482,"&gt;0")&gt;0,_xlfn.MINIFS(Results!$G$2:$G$482,Results!$F$2:$F$482,$A22,Results!$A$2:$A$482,R$4,Results!$G$2:$G$482,"&gt;0"),IF(COUNTIFS(Results!$F$2:$F$482,$A22,Results!$A$2:$A$482,R$4,Results!$H$2:$H$482,"DNF")&gt;0,"DNF","•")))</f>
        <v/>
      </c>
      <c r="S22" s="20" t="str">
        <f aca="false">IF(COUNTIFS(Results!$F$2:$F$482,$A22,Results!$A$2:$A$482,S$4)=0,"",IF(COUNTIFS(Results!$F$2:$F$482,$A22,Results!$A$2:$A$482,S$4,Results!$G$2:$G$482,"&gt;0")&gt;0,_xlfn.MINIFS(Results!$G$2:$G$482,Results!$F$2:$F$482,$A22,Results!$A$2:$A$482,S$4,Results!$G$2:$G$482,"&gt;0"),IF(COUNTIFS(Results!$F$2:$F$482,$A22,Results!$A$2:$A$482,S$4,Results!$H$2:$H$482,"DNF")&gt;0,"DNF","•")))</f>
        <v/>
      </c>
      <c r="T22" s="20" t="str">
        <f aca="false">IF(COUNTIFS(Results!$F$2:$F$482,$A22,Results!$A$2:$A$482,T$4)=0,"",IF(COUNTIFS(Results!$F$2:$F$482,$A22,Results!$A$2:$A$482,T$4,Results!$G$2:$G$482,"&gt;0")&gt;0,_xlfn.MINIFS(Results!$G$2:$G$482,Results!$F$2:$F$482,$A22,Results!$A$2:$A$482,T$4,Results!$G$2:$G$482,"&gt;0"),IF(COUNTIFS(Results!$F$2:$F$482,$A22,Results!$A$2:$A$482,T$4,Results!$H$2:$H$482,"DNF")&gt;0,"DNF","•")))</f>
        <v/>
      </c>
      <c r="U22" s="20" t="str">
        <f aca="false">IF(COUNTIFS(Results!$F$2:$F$482,$A22,Results!$A$2:$A$482,U$4)=0,"",IF(COUNTIFS(Results!$F$2:$F$482,$A22,Results!$A$2:$A$482,U$4,Results!$G$2:$G$482,"&gt;0")&gt;0,_xlfn.MINIFS(Results!$G$2:$G$482,Results!$F$2:$F$482,$A22,Results!$A$2:$A$482,U$4,Results!$G$2:$G$482,"&gt;0"),IF(COUNTIFS(Results!$F$2:$F$482,$A22,Results!$A$2:$A$482,U$4,Results!$H$2:$H$482,"DNF")&gt;0,"DNF","•")))</f>
        <v/>
      </c>
      <c r="V22" s="20" t="str">
        <f aca="false">IF(COUNTIFS(Results!$F$2:$F$482,$A22,Results!$A$2:$A$482,V$4)=0,"",IF(COUNTIFS(Results!$F$2:$F$482,$A22,Results!$A$2:$A$482,V$4,Results!$G$2:$G$482,"&gt;0")&gt;0,_xlfn.MINIFS(Results!$G$2:$G$482,Results!$F$2:$F$482,$A22,Results!$A$2:$A$482,V$4,Results!$G$2:$G$482,"&gt;0"),IF(COUNTIFS(Results!$F$2:$F$482,$A22,Results!$A$2:$A$482,V$4,Results!$H$2:$H$482,"DNF")&gt;0,"DNF","•")))</f>
        <v/>
      </c>
      <c r="W22" s="20" t="str">
        <f aca="false">IF(COUNTIFS(Results!$F$2:$F$482,$A22,Results!$A$2:$A$482,W$4)=0,"",IF(COUNTIFS(Results!$F$2:$F$482,$A22,Results!$A$2:$A$482,W$4,Results!$G$2:$G$482,"&gt;0")&gt;0,_xlfn.MINIFS(Results!$G$2:$G$482,Results!$F$2:$F$482,$A22,Results!$A$2:$A$482,W$4,Results!$G$2:$G$482,"&gt;0"),IF(COUNTIFS(Results!$F$2:$F$482,$A22,Results!$A$2:$A$482,W$4,Results!$H$2:$H$482,"DNF")&gt;0,"DNF","•")))</f>
        <v/>
      </c>
      <c r="X22" s="20" t="str">
        <f aca="false">IF(COUNTIFS(Results!$F$2:$F$482,$A22,Results!$A$2:$A$482,X$4)=0,"",IF(COUNTIFS(Results!$F$2:$F$482,$A22,Results!$A$2:$A$482,X$4,Results!$G$2:$G$482,"&gt;0")&gt;0,_xlfn.MINIFS(Results!$G$2:$G$482,Results!$F$2:$F$482,$A22,Results!$A$2:$A$482,X$4,Results!$G$2:$G$482,"&gt;0"),IF(COUNTIFS(Results!$F$2:$F$482,$A22,Results!$A$2:$A$482,X$4,Results!$H$2:$H$482,"DNF")&gt;0,"DNF","•")))</f>
        <v/>
      </c>
      <c r="Y22" s="20" t="str">
        <f aca="false">IF(COUNTIFS(Results!$F$2:$F$482,$A22,Results!$A$2:$A$482,Y$4)=0,"",IF(COUNTIFS(Results!$F$2:$F$482,$A22,Results!$A$2:$A$482,Y$4,Results!$G$2:$G$482,"&gt;0")&gt;0,_xlfn.MINIFS(Results!$G$2:$G$482,Results!$F$2:$F$482,$A22,Results!$A$2:$A$482,Y$4,Results!$G$2:$G$482,"&gt;0"),IF(COUNTIFS(Results!$F$2:$F$482,$A22,Results!$A$2:$A$482,Y$4,Results!$H$2:$H$482,"DNF")&gt;0,"DNF","•")))</f>
        <v/>
      </c>
      <c r="Z22" s="20" t="str">
        <f aca="false">IF(COUNTIFS(Results!$F$2:$F$482,$A22,Results!$A$2:$A$482,Z$4)=0,"",IF(COUNTIFS(Results!$F$2:$F$482,$A22,Results!$A$2:$A$482,Z$4,Results!$G$2:$G$482,"&gt;0")&gt;0,_xlfn.MINIFS(Results!$G$2:$G$482,Results!$F$2:$F$482,$A22,Results!$A$2:$A$482,Z$4,Results!$G$2:$G$482,"&gt;0"),IF(COUNTIFS(Results!$F$2:$F$482,$A22,Results!$A$2:$A$482,Z$4,Results!$H$2:$H$482,"DNF")&gt;0,"DNF","•")))</f>
        <v/>
      </c>
      <c r="AA22" s="20" t="str">
        <f aca="false">IF(COUNTIFS(Results!$F$2:$F$482,$A22,Results!$A$2:$A$482,AA$4)=0,"",IF(COUNTIFS(Results!$F$2:$F$482,$A22,Results!$A$2:$A$482,AA$4,Results!$G$2:$G$482,"&gt;0")&gt;0,_xlfn.MINIFS(Results!$G$2:$G$482,Results!$F$2:$F$482,$A22,Results!$A$2:$A$482,AA$4,Results!$G$2:$G$482,"&gt;0"),IF(COUNTIFS(Results!$F$2:$F$482,$A22,Results!$A$2:$A$482,AA$4,Results!$H$2:$H$482,"DNF")&gt;0,"DNF","•")))</f>
        <v/>
      </c>
      <c r="AB22" s="20" t="str">
        <f aca="false">IF(COUNTIFS(Results!$F$2:$F$482,$A22,Results!$A$2:$A$482,AB$4)=0,"",IF(COUNTIFS(Results!$F$2:$F$482,$A22,Results!$A$2:$A$482,AB$4,Results!$G$2:$G$482,"&gt;0")&gt;0,_xlfn.MINIFS(Results!$G$2:$G$482,Results!$F$2:$F$482,$A22,Results!$A$2:$A$482,AB$4,Results!$G$2:$G$482,"&gt;0"),IF(COUNTIFS(Results!$F$2:$F$482,$A22,Results!$A$2:$A$482,AB$4,Results!$H$2:$H$482,"DNF")&gt;0,"DNF","•")))</f>
        <v/>
      </c>
      <c r="AC22" s="20" t="str">
        <f aca="false">IF(COUNTIFS(Results!$F$2:$F$482,$A22,Results!$A$2:$A$482,AC$4)=0,"",IF(COUNTIFS(Results!$F$2:$F$482,$A22,Results!$A$2:$A$482,AC$4,Results!$G$2:$G$482,"&gt;0")&gt;0,_xlfn.MINIFS(Results!$G$2:$G$482,Results!$F$2:$F$482,$A22,Results!$A$2:$A$482,AC$4,Results!$G$2:$G$482,"&gt;0"),IF(COUNTIFS(Results!$F$2:$F$482,$A22,Results!$A$2:$A$482,AC$4,Results!$H$2:$H$482,"DNF")&gt;0,"DNF","•")))</f>
        <v/>
      </c>
      <c r="AD22" s="20" t="str">
        <f aca="false">IF(COUNTIFS(Results!$F$2:$F$482,$A22,Results!$A$2:$A$482,AD$4)=0,"",IF(COUNTIFS(Results!$F$2:$F$482,$A22,Results!$A$2:$A$482,AD$4,Results!$G$2:$G$482,"&gt;0")&gt;0,_xlfn.MINIFS(Results!$G$2:$G$482,Results!$F$2:$F$482,$A22,Results!$A$2:$A$482,AD$4,Results!$G$2:$G$482,"&gt;0"),IF(COUNTIFS(Results!$F$2:$F$482,$A22,Results!$A$2:$A$482,AD$4,Results!$H$2:$H$482,"DNF")&gt;0,"DNF","•")))</f>
        <v/>
      </c>
      <c r="AE22" s="20" t="str">
        <f aca="false">IF(COUNTIFS(Results!$F$2:$F$482,$A22,Results!$A$2:$A$482,AE$4)=0,"",IF(COUNTIFS(Results!$F$2:$F$482,$A22,Results!$A$2:$A$482,AE$4,Results!$G$2:$G$482,"&gt;0")&gt;0,_xlfn.MINIFS(Results!$G$2:$G$482,Results!$F$2:$F$482,$A22,Results!$A$2:$A$482,AE$4,Results!$G$2:$G$482,"&gt;0"),IF(COUNTIFS(Results!$F$2:$F$482,$A22,Results!$A$2:$A$482,AE$4,Results!$H$2:$H$482,"DNF")&gt;0,"DNF","•")))</f>
        <v/>
      </c>
      <c r="AF22" s="20" t="str">
        <f aca="false">IF(COUNTIFS(Results!$F$2:$F$482,$A22,Results!$A$2:$A$482,AF$4)=0,"",IF(COUNTIFS(Results!$F$2:$F$482,$A22,Results!$A$2:$A$482,AF$4,Results!$G$2:$G$482,"&gt;0")&gt;0,_xlfn.MINIFS(Results!$G$2:$G$482,Results!$F$2:$F$482,$A22,Results!$A$2:$A$482,AF$4,Results!$G$2:$G$482,"&gt;0"),IF(COUNTIFS(Results!$F$2:$F$482,$A22,Results!$A$2:$A$482,AF$4,Results!$H$2:$H$482,"DNF")&gt;0,"DNF","•")))</f>
        <v/>
      </c>
      <c r="AG22" s="20" t="str">
        <f aca="false">IF(COUNTIFS(Results!$F$2:$F$482,$A22,Results!$A$2:$A$482,AG$4)=0,"",IF(COUNTIFS(Results!$F$2:$F$482,$A22,Results!$A$2:$A$482,AG$4,Results!$G$2:$G$482,"&gt;0")&gt;0,_xlfn.MINIFS(Results!$G$2:$G$482,Results!$F$2:$F$482,$A22,Results!$A$2:$A$482,AG$4,Results!$G$2:$G$482,"&gt;0"),IF(COUNTIFS(Results!$F$2:$F$482,$A22,Results!$A$2:$A$482,AG$4,Results!$H$2:$H$482,"DNF")&gt;0,"DNF","•")))</f>
        <v/>
      </c>
      <c r="AH22" s="20" t="str">
        <f aca="false">IF(COUNTIFS(Results!$F$2:$F$482,$A22,Results!$A$2:$A$482,AH$4)=0,"",IF(COUNTIFS(Results!$F$2:$F$482,$A22,Results!$A$2:$A$482,AH$4,Results!$G$2:$G$482,"&gt;0")&gt;0,_xlfn.MINIFS(Results!$G$2:$G$482,Results!$F$2:$F$482,$A22,Results!$A$2:$A$482,AH$4,Results!$G$2:$G$482,"&gt;0"),IF(COUNTIFS(Results!$F$2:$F$482,$A22,Results!$A$2:$A$482,AH$4,Results!$H$2:$H$482,"DNF")&gt;0,"DNF","•")))</f>
        <v/>
      </c>
      <c r="AI22" s="20" t="str">
        <f aca="false">IF(COUNTIFS(Results!$F$2:$F$482,$A22,Results!$A$2:$A$482,AI$4)=0,"",IF(COUNTIFS(Results!$F$2:$F$482,$A22,Results!$A$2:$A$482,AI$4,Results!$G$2:$G$482,"&gt;0")&gt;0,_xlfn.MINIFS(Results!$G$2:$G$482,Results!$F$2:$F$482,$A22,Results!$A$2:$A$482,AI$4,Results!$G$2:$G$482,"&gt;0"),IF(COUNTIFS(Results!$F$2:$F$482,$A22,Results!$A$2:$A$482,AI$4,Results!$H$2:$H$482,"DNF")&gt;0,"DNF","•")))</f>
        <v/>
      </c>
      <c r="AJ22" s="20" t="n">
        <f aca="false">IF(COUNTIFS(Results!$F$2:$F$482,$A22,Results!$A$2:$A$482,AJ$4)=0,"",IF(COUNTIFS(Results!$F$2:$F$482,$A22,Results!$A$2:$A$482,AJ$4,Results!$G$2:$G$482,"&gt;0")&gt;0,_xlfn.MINIFS(Results!$G$2:$G$482,Results!$F$2:$F$482,$A22,Results!$A$2:$A$482,AJ$4,Results!$G$2:$G$482,"&gt;0"),IF(COUNTIFS(Results!$F$2:$F$482,$A22,Results!$A$2:$A$482,AJ$4,Results!$H$2:$H$482,"DNF")&gt;0,"DNF","•")))</f>
        <v>9</v>
      </c>
      <c r="AK22" s="20" t="str">
        <f aca="false">IF(COUNTIFS(Results!$F$2:$F$482,$A22,Results!$A$2:$A$482,AK$4)=0,"",IF(COUNTIFS(Results!$F$2:$F$482,$A22,Results!$A$2:$A$482,AK$4,Results!$G$2:$G$482,"&gt;0")&gt;0,_xlfn.MINIFS(Results!$G$2:$G$482,Results!$F$2:$F$482,$A22,Results!$A$2:$A$482,AK$4,Results!$G$2:$G$482,"&gt;0"),IF(COUNTIFS(Results!$F$2:$F$482,$A22,Results!$A$2:$A$482,AK$4,Results!$H$2:$H$482,"DNF")&gt;0,"DNF","•")))</f>
        <v/>
      </c>
      <c r="AL22" s="20" t="str">
        <f aca="false">IF(COUNTIFS(Results!$F$2:$F$482,$A22,Results!$A$2:$A$482,AL$4)=0,"",IF(COUNTIFS(Results!$F$2:$F$482,$A22,Results!$A$2:$A$482,AL$4,Results!$G$2:$G$482,"&gt;0")&gt;0,_xlfn.MINIFS(Results!$G$2:$G$482,Results!$F$2:$F$482,$A22,Results!$A$2:$A$482,AL$4,Results!$G$2:$G$482,"&gt;0"),IF(COUNTIFS(Results!$F$2:$F$482,$A22,Results!$A$2:$A$482,AL$4,Results!$H$2:$H$482,"DNF")&gt;0,"DNF","•")))</f>
        <v/>
      </c>
      <c r="AM22" s="20" t="str">
        <f aca="false">IF(COUNTIFS(Results!$F$2:$F$482,$A22,Results!$A$2:$A$482,AM$4)=0,"",IF(COUNTIFS(Results!$F$2:$F$482,$A22,Results!$A$2:$A$482,AM$4,Results!$G$2:$G$482,"&gt;0")&gt;0,_xlfn.MINIFS(Results!$G$2:$G$482,Results!$F$2:$F$482,$A22,Results!$A$2:$A$482,AM$4,Results!$G$2:$G$482,"&gt;0"),IF(COUNTIFS(Results!$F$2:$F$482,$A22,Results!$A$2:$A$482,AM$4,Results!$H$2:$H$482,"DNF")&gt;0,"DNF","•")))</f>
        <v/>
      </c>
      <c r="AN22" s="20" t="str">
        <f aca="false">IF(COUNTIFS(Results!$F$2:$F$482,$A22,Results!$A$2:$A$482,AN$4)=0,"",IF(COUNTIFS(Results!$F$2:$F$482,$A22,Results!$A$2:$A$482,AN$4,Results!$G$2:$G$482,"&gt;0")&gt;0,_xlfn.MINIFS(Results!$G$2:$G$482,Results!$F$2:$F$482,$A22,Results!$A$2:$A$482,AN$4,Results!$G$2:$G$482,"&gt;0"),IF(COUNTIFS(Results!$F$2:$F$482,$A22,Results!$A$2:$A$482,AN$4,Results!$H$2:$H$482,"DNF")&gt;0,"DNF","•")))</f>
        <v/>
      </c>
      <c r="AO22" s="20" t="str">
        <f aca="false">IF(COUNTIFS(Results!$F$2:$F$482,$A22,Results!$A$2:$A$482,AO$4)=0,"",IF(COUNTIFS(Results!$F$2:$F$482,$A22,Results!$A$2:$A$482,AO$4,Results!$G$2:$G$482,"&gt;0")&gt;0,_xlfn.MINIFS(Results!$G$2:$G$482,Results!$F$2:$F$482,$A22,Results!$A$2:$A$482,AO$4,Results!$G$2:$G$482,"&gt;0"),IF(COUNTIFS(Results!$F$2:$F$482,$A22,Results!$A$2:$A$482,AO$4,Results!$H$2:$H$482,"DNF")&gt;0,"DNF","•")))</f>
        <v/>
      </c>
      <c r="AP22" s="20" t="n">
        <f aca="false">IF(COUNTIFS(Results!$F$2:$F$482,$A22,Results!$A$2:$A$482,AP$4)=0,"",IF(COUNTIFS(Results!$F$2:$F$482,$A22,Results!$A$2:$A$482,AP$4,Results!$G$2:$G$482,"&gt;0")&gt;0,_xlfn.MINIFS(Results!$G$2:$G$482,Results!$F$2:$F$482,$A22,Results!$A$2:$A$482,AP$4,Results!$G$2:$G$482,"&gt;0"),IF(COUNTIFS(Results!$F$2:$F$482,$A22,Results!$A$2:$A$482,AP$4,Results!$H$2:$H$482,"DNF")&gt;0,"DNF","•")))</f>
        <v>5</v>
      </c>
      <c r="AQ22" s="20" t="str">
        <f aca="false">IF(COUNTIFS(Results!$F$2:$F$482,$A22,Results!$A$2:$A$482,AQ$4)=0,"",IF(COUNTIFS(Results!$F$2:$F$482,$A22,Results!$A$2:$A$482,AQ$4,Results!$G$2:$G$482,"&gt;0")&gt;0,_xlfn.MINIFS(Results!$G$2:$G$482,Results!$F$2:$F$482,$A22,Results!$A$2:$A$482,AQ$4,Results!$G$2:$G$482,"&gt;0"),IF(COUNTIFS(Results!$F$2:$F$482,$A22,Results!$A$2:$A$482,AQ$4,Results!$H$2:$H$482,"DNF")&gt;0,"DNF","•")))</f>
        <v/>
      </c>
      <c r="AR22" s="20" t="str">
        <f aca="false">IF(COUNTIFS(Results!$F$2:$F$482,$A22,Results!$A$2:$A$482,AR$4)=0,"",IF(COUNTIFS(Results!$F$2:$F$482,$A22,Results!$A$2:$A$482,AR$4,Results!$G$2:$G$482,"&gt;0")&gt;0,_xlfn.MINIFS(Results!$G$2:$G$482,Results!$F$2:$F$482,$A22,Results!$A$2:$A$482,AR$4,Results!$G$2:$G$482,"&gt;0"),IF(COUNTIFS(Results!$F$2:$F$482,$A22,Results!$A$2:$A$482,AR$4,Results!$H$2:$H$482,"DNF")&gt;0,"DNF","•")))</f>
        <v/>
      </c>
      <c r="AS22" s="20" t="str">
        <f aca="false">IF(COUNTIFS(Results!$F$2:$F$482,$A22,Results!$A$2:$A$482,AS$4)=0,"",IF(COUNTIFS(Results!$F$2:$F$482,$A22,Results!$A$2:$A$482,AS$4,Results!$G$2:$G$482,"&gt;0")&gt;0,_xlfn.MINIFS(Results!$G$2:$G$482,Results!$F$2:$F$482,$A22,Results!$A$2:$A$482,AS$4,Results!$G$2:$G$482,"&gt;0"),IF(COUNTIFS(Results!$F$2:$F$482,$A22,Results!$A$2:$A$482,AS$4,Results!$H$2:$H$482,"DNF")&gt;0,"DNF","•")))</f>
        <v/>
      </c>
      <c r="AT22" s="20" t="str">
        <f aca="false">IF(COUNTIFS(Results!$F$2:$F$482,$A22,Results!$A$2:$A$482,AT$4)=0,"",IF(COUNTIFS(Results!$F$2:$F$482,$A22,Results!$A$2:$A$482,AT$4,Results!$G$2:$G$482,"&gt;0")&gt;0,_xlfn.MINIFS(Results!$G$2:$G$482,Results!$F$2:$F$482,$A22,Results!$A$2:$A$482,AT$4,Results!$G$2:$G$482,"&gt;0"),IF(COUNTIFS(Results!$F$2:$F$482,$A22,Results!$A$2:$A$482,AT$4,Results!$H$2:$H$482,"DNF")&gt;0,"DNF","•")))</f>
        <v/>
      </c>
      <c r="AU22" s="20" t="str">
        <f aca="false">IF(COUNTIFS(Results!$F$2:$F$482,$A22,Results!$A$2:$A$482,AU$4)=0,"",IF(COUNTIFS(Results!$F$2:$F$482,$A22,Results!$A$2:$A$482,AU$4,Results!$G$2:$G$482,"&gt;0")&gt;0,_xlfn.MINIFS(Results!$G$2:$G$482,Results!$F$2:$F$482,$A22,Results!$A$2:$A$482,AU$4,Results!$G$2:$G$482,"&gt;0"),IF(COUNTIFS(Results!$F$2:$F$482,$A22,Results!$A$2:$A$482,AU$4,Results!$H$2:$H$482,"DNF")&gt;0,"DNF","•")))</f>
        <v/>
      </c>
      <c r="AV22" s="20" t="str">
        <f aca="false">IF(COUNTIFS(Results!$F$2:$F$482,$A22,Results!$A$2:$A$482,AV$4)=0,"",IF(COUNTIFS(Results!$F$2:$F$482,$A22,Results!$A$2:$A$482,AV$4,Results!$G$2:$G$482,"&gt;0")&gt;0,_xlfn.MINIFS(Results!$G$2:$G$482,Results!$F$2:$F$482,$A22,Results!$A$2:$A$482,AV$4,Results!$G$2:$G$482,"&gt;0"),IF(COUNTIFS(Results!$F$2:$F$482,$A22,Results!$A$2:$A$482,AV$4,Results!$H$2:$H$482,"DNF")&gt;0,"DNF","•")))</f>
        <v/>
      </c>
      <c r="AW22" s="20" t="str">
        <f aca="false">IF(COUNTIFS(Results!$F$2:$F$482,$A22,Results!$A$2:$A$482,AW$4)=0,"",IF(COUNTIFS(Results!$F$2:$F$482,$A22,Results!$A$2:$A$482,AW$4,Results!$G$2:$G$482,"&gt;0")&gt;0,_xlfn.MINIFS(Results!$G$2:$G$482,Results!$F$2:$F$482,$A22,Results!$A$2:$A$482,AW$4,Results!$G$2:$G$482,"&gt;0"),IF(COUNTIFS(Results!$F$2:$F$482,$A22,Results!$A$2:$A$482,AW$4,Results!$H$2:$H$482,"DNF")&gt;0,"DNF","•")))</f>
        <v/>
      </c>
      <c r="AX22" s="20" t="str">
        <f aca="false">IF(COUNTIFS(Results!$F$2:$F$482,$A22,Results!$A$2:$A$482,AX$4)=0,"",IF(COUNTIFS(Results!$F$2:$F$482,$A22,Results!$A$2:$A$482,AX$4,Results!$G$2:$G$482,"&gt;0")&gt;0,_xlfn.MINIFS(Results!$G$2:$G$482,Results!$F$2:$F$482,$A22,Results!$A$2:$A$482,AX$4,Results!$G$2:$G$482,"&gt;0"),IF(COUNTIFS(Results!$F$2:$F$482,$A22,Results!$A$2:$A$482,AX$4,Results!$H$2:$H$482,"DNF")&gt;0,"DNF","•")))</f>
        <v/>
      </c>
      <c r="AY22" s="20" t="str">
        <f aca="false">IF(COUNTIFS(Results!$F$2:$F$482,$A22,Results!$A$2:$A$482,AY$4)=0,"",IF(COUNTIFS(Results!$F$2:$F$482,$A22,Results!$A$2:$A$482,AY$4,Results!$G$2:$G$482,"&gt;0")&gt;0,_xlfn.MINIFS(Results!$G$2:$G$482,Results!$F$2:$F$482,$A22,Results!$A$2:$A$482,AY$4,Results!$G$2:$G$482,"&gt;0"),IF(COUNTIFS(Results!$F$2:$F$482,$A22,Results!$A$2:$A$482,AY$4,Results!$H$2:$H$482,"DNF")&gt;0,"DNF","•")))</f>
        <v/>
      </c>
      <c r="AZ22" s="20" t="str">
        <f aca="false">IF(COUNTIFS(Results!$F$2:$F$482,$A22,Results!$A$2:$A$482,AZ$4)=0,"",IF(COUNTIFS(Results!$F$2:$F$482,$A22,Results!$A$2:$A$482,AZ$4,Results!$G$2:$G$482,"&gt;0")&gt;0,_xlfn.MINIFS(Results!$G$2:$G$482,Results!$F$2:$F$482,$A22,Results!$A$2:$A$482,AZ$4,Results!$G$2:$G$482,"&gt;0"),IF(COUNTIFS(Results!$F$2:$F$482,$A22,Results!$A$2:$A$482,AZ$4,Results!$H$2:$H$482,"DNF")&gt;0,"DNF","•")))</f>
        <v/>
      </c>
      <c r="BA22" s="20" t="str">
        <f aca="false">IF(COUNTIFS(Results!$F$2:$F$482,$A22,Results!$A$2:$A$482,BA$4)=0,"",IF(COUNTIFS(Results!$F$2:$F$482,$A22,Results!$A$2:$A$482,BA$4,Results!$G$2:$G$482,"&gt;0")&gt;0,_xlfn.MINIFS(Results!$G$2:$G$482,Results!$F$2:$F$482,$A22,Results!$A$2:$A$482,BA$4,Results!$G$2:$G$482,"&gt;0"),IF(COUNTIFS(Results!$F$2:$F$482,$A22,Results!$A$2:$A$482,BA$4,Results!$H$2:$H$482,"DNF")&gt;0,"DNF","•")))</f>
        <v/>
      </c>
      <c r="BB22" s="20" t="str">
        <f aca="false">IF(COUNTIFS(Results!$F$2:$F$482,$A22,Results!$A$2:$A$482,BB$4)=0,"",IF(COUNTIFS(Results!$F$2:$F$482,$A22,Results!$A$2:$A$482,BB$4,Results!$G$2:$G$482,"&gt;0")&gt;0,_xlfn.MINIFS(Results!$G$2:$G$482,Results!$F$2:$F$482,$A22,Results!$A$2:$A$482,BB$4,Results!$G$2:$G$482,"&gt;0"),IF(COUNTIFS(Results!$F$2:$F$482,$A22,Results!$A$2:$A$482,BB$4,Results!$H$2:$H$482,"DNF")&gt;0,"DNF","•")))</f>
        <v/>
      </c>
      <c r="BC22" s="20" t="str">
        <f aca="false">IF(COUNTIFS(Results!$F$2:$F$482,$A22,Results!$A$2:$A$482,BC$4)=0,"",IF(COUNTIFS(Results!$F$2:$F$482,$A22,Results!$A$2:$A$482,BC$4,Results!$G$2:$G$482,"&gt;0")&gt;0,_xlfn.MINIFS(Results!$G$2:$G$482,Results!$F$2:$F$482,$A22,Results!$A$2:$A$482,BC$4,Results!$G$2:$G$482,"&gt;0"),IF(COUNTIFS(Results!$F$2:$F$482,$A22,Results!$A$2:$A$482,BC$4,Results!$H$2:$H$482,"DNF")&gt;0,"DNF","•")))</f>
        <v/>
      </c>
      <c r="BD22" s="20" t="str">
        <f aca="false">IF(COUNTIFS(Results!$F$2:$F$482,$A22,Results!$A$2:$A$482,BD$4)=0,"",IF(COUNTIFS(Results!$F$2:$F$482,$A22,Results!$A$2:$A$482,BD$4,Results!$G$2:$G$482,"&gt;0")&gt;0,_xlfn.MINIFS(Results!$G$2:$G$482,Results!$F$2:$F$482,$A22,Results!$A$2:$A$482,BD$4,Results!$G$2:$G$482,"&gt;0"),IF(COUNTIFS(Results!$F$2:$F$482,$A22,Results!$A$2:$A$482,BD$4,Results!$H$2:$H$482,"DNF")&gt;0,"DNF","•")))</f>
        <v/>
      </c>
      <c r="BE22" s="20" t="str">
        <f aca="false">IF(COUNTIFS(Results!$F$2:$F$482,$A22,Results!$A$2:$A$482,BE$4)=0,"",IF(COUNTIFS(Results!$F$2:$F$482,$A22,Results!$A$2:$A$482,BE$4,Results!$G$2:$G$482,"&gt;0")&gt;0,_xlfn.MINIFS(Results!$G$2:$G$482,Results!$F$2:$F$482,$A22,Results!$A$2:$A$482,BE$4,Results!$G$2:$G$482,"&gt;0"),IF(COUNTIFS(Results!$F$2:$F$482,$A22,Results!$A$2:$A$482,BE$4,Results!$H$2:$H$482,"DNF")&gt;0,"DNF","•")))</f>
        <v/>
      </c>
      <c r="BF22" s="20" t="str">
        <f aca="false">IF(COUNTIFS(Results!$F$2:$F$482,$A22,Results!$A$2:$A$482,BF$4)=0,"",IF(COUNTIFS(Results!$F$2:$F$482,$A22,Results!$A$2:$A$482,BF$4,Results!$G$2:$G$482,"&gt;0")&gt;0,_xlfn.MINIFS(Results!$G$2:$G$482,Results!$F$2:$F$482,$A22,Results!$A$2:$A$482,BF$4,Results!$G$2:$G$482,"&gt;0"),IF(COUNTIFS(Results!$F$2:$F$482,$A22,Results!$A$2:$A$482,BF$4,Results!$H$2:$H$482,"DNF")&gt;0,"DNF","•")))</f>
        <v/>
      </c>
      <c r="BG22" s="20" t="str">
        <f aca="false">IF(COUNTIFS(Results!$F$2:$F$482,$A22,Results!$A$2:$A$482,BG$4)=0,"",IF(COUNTIFS(Results!$F$2:$F$482,$A22,Results!$A$2:$A$482,BG$4,Results!$G$2:$G$482,"&gt;0")&gt;0,_xlfn.MINIFS(Results!$G$2:$G$482,Results!$F$2:$F$482,$A22,Results!$A$2:$A$482,BG$4,Results!$G$2:$G$482,"&gt;0"),IF(COUNTIFS(Results!$F$2:$F$482,$A22,Results!$A$2:$A$482,BG$4,Results!$H$2:$H$482,"DNF")&gt;0,"DNF","•")))</f>
        <v/>
      </c>
      <c r="BH22" s="20" t="str">
        <f aca="false">IF(COUNTIFS(Results!$F$2:$F$482,$A22,Results!$A$2:$A$482,BH$4)=0,"",IF(COUNTIFS(Results!$F$2:$F$482,$A22,Results!$A$2:$A$482,BH$4,Results!$G$2:$G$482,"&gt;0")&gt;0,_xlfn.MINIFS(Results!$G$2:$G$482,Results!$F$2:$F$482,$A22,Results!$A$2:$A$482,BH$4,Results!$G$2:$G$482,"&gt;0"),IF(COUNTIFS(Results!$F$2:$F$482,$A22,Results!$A$2:$A$482,BH$4,Results!$H$2:$H$482,"DNF")&gt;0,"DNF","•")))</f>
        <v/>
      </c>
      <c r="BI22" s="20" t="str">
        <f aca="false">IF(COUNTIFS(Results!$F$2:$F$482,$A22,Results!$A$2:$A$482,BI$4)=0,"",IF(COUNTIFS(Results!$F$2:$F$482,$A22,Results!$A$2:$A$482,BI$4,Results!$G$2:$G$482,"&gt;0")&gt;0,_xlfn.MINIFS(Results!$G$2:$G$482,Results!$F$2:$F$482,$A22,Results!$A$2:$A$482,BI$4,Results!$G$2:$G$482,"&gt;0"),IF(COUNTIFS(Results!$F$2:$F$482,$A22,Results!$A$2:$A$482,BI$4,Results!$H$2:$H$482,"DNF")&gt;0,"DNF","•")))</f>
        <v/>
      </c>
      <c r="BJ22" s="20" t="str">
        <f aca="false">IF(COUNTIFS(Results!$F$2:$F$482,$A22,Results!$A$2:$A$482,BJ$4)=0,"",IF(COUNTIFS(Results!$F$2:$F$482,$A22,Results!$A$2:$A$482,BJ$4,Results!$G$2:$G$482,"&gt;0")&gt;0,_xlfn.MINIFS(Results!$G$2:$G$482,Results!$F$2:$F$482,$A22,Results!$A$2:$A$482,BJ$4,Results!$G$2:$G$482,"&gt;0"),IF(COUNTIFS(Results!$F$2:$F$482,$A22,Results!$A$2:$A$482,BJ$4,Results!$H$2:$H$482,"DNF")&gt;0,"DNF","•")))</f>
        <v/>
      </c>
      <c r="BK22" s="20" t="str">
        <f aca="false">IF(COUNTIFS(Results!$F$2:$F$482,$A22,Results!$A$2:$A$482,BK$4)=0,"",IF(COUNTIFS(Results!$F$2:$F$482,$A22,Results!$A$2:$A$482,BK$4,Results!$G$2:$G$482,"&gt;0")&gt;0,_xlfn.MINIFS(Results!$G$2:$G$482,Results!$F$2:$F$482,$A22,Results!$A$2:$A$482,BK$4,Results!$G$2:$G$482,"&gt;0"),IF(COUNTIFS(Results!$F$2:$F$482,$A22,Results!$A$2:$A$482,BK$4,Results!$H$2:$H$482,"DNF")&gt;0,"DNF","•")))</f>
        <v/>
      </c>
      <c r="BL22" s="20" t="n">
        <f aca="false">IF(COUNTIFS(Results!$F$2:$F$482,$A22,Results!$A$2:$A$482,BL$4)=0,"",IF(COUNTIFS(Results!$F$2:$F$482,$A22,Results!$A$2:$A$482,BL$4,Results!$G$2:$G$482,"&gt;0")&gt;0,_xlfn.MINIFS(Results!$G$2:$G$482,Results!$F$2:$F$482,$A22,Results!$A$2:$A$482,BL$4,Results!$G$2:$G$482,"&gt;0"),IF(COUNTIFS(Results!$F$2:$F$482,$A22,Results!$A$2:$A$482,BL$4,Results!$H$2:$H$482,"DNF")&gt;0,"DNF","•")))</f>
        <v>3</v>
      </c>
    </row>
    <row r="23" customFormat="false" ht="15" hidden="false" customHeight="false" outlineLevel="0" collapsed="false">
      <c r="A23" s="7" t="str">
        <f aca="false">Riders!A21</f>
        <v>Aniela Augustyniak</v>
      </c>
      <c r="B23" s="20" t="str">
        <f aca="false">IF(COUNTIFS(Results!$F$2:$F$482,$A23,Results!$A$2:$A$482,B$4)=0,"",IF(COUNTIFS(Results!$F$2:$F$482,$A23,Results!$A$2:$A$482,B$4,Results!$G$2:$G$482,"&gt;0")&gt;0,_xlfn.MINIFS(Results!$G$2:$G$482,Results!$F$2:$F$482,$A23,Results!$A$2:$A$482,B$4,Results!$G$2:$G$482,"&gt;0"),IF(COUNTIFS(Results!$F$2:$F$482,$A23,Results!$A$2:$A$482,B$4,Results!$H$2:$H$482,"DNF")&gt;0,"DNF","•")))</f>
        <v/>
      </c>
      <c r="C23" s="20" t="n">
        <f aca="false">IF(COUNTIFS(Results!$F$2:$F$482,$A23,Results!$A$2:$A$482,C$4)=0,"",IF(COUNTIFS(Results!$F$2:$F$482,$A23,Results!$A$2:$A$482,C$4,Results!$G$2:$G$482,"&gt;0")&gt;0,_xlfn.MINIFS(Results!$G$2:$G$482,Results!$F$2:$F$482,$A23,Results!$A$2:$A$482,C$4,Results!$G$2:$G$482,"&gt;0"),IF(COUNTIFS(Results!$F$2:$F$482,$A23,Results!$A$2:$A$482,C$4,Results!$H$2:$H$482,"DNF")&gt;0,"DNF","•")))</f>
        <v>6</v>
      </c>
      <c r="D23" s="20" t="str">
        <f aca="false">IF(COUNTIFS(Results!$F$2:$F$482,$A23,Results!$A$2:$A$482,D$4)=0,"",IF(COUNTIFS(Results!$F$2:$F$482,$A23,Results!$A$2:$A$482,D$4,Results!$G$2:$G$482,"&gt;0")&gt;0,_xlfn.MINIFS(Results!$G$2:$G$482,Results!$F$2:$F$482,$A23,Results!$A$2:$A$482,D$4,Results!$G$2:$G$482,"&gt;0"),IF(COUNTIFS(Results!$F$2:$F$482,$A23,Results!$A$2:$A$482,D$4,Results!$H$2:$H$482,"DNF")&gt;0,"DNF","•")))</f>
        <v/>
      </c>
      <c r="E23" s="20" t="str">
        <f aca="false">IF(COUNTIFS(Results!$F$2:$F$482,$A23,Results!$A$2:$A$482,E$4)=0,"",IF(COUNTIFS(Results!$F$2:$F$482,$A23,Results!$A$2:$A$482,E$4,Results!$G$2:$G$482,"&gt;0")&gt;0,_xlfn.MINIFS(Results!$G$2:$G$482,Results!$F$2:$F$482,$A23,Results!$A$2:$A$482,E$4,Results!$G$2:$G$482,"&gt;0"),IF(COUNTIFS(Results!$F$2:$F$482,$A23,Results!$A$2:$A$482,E$4,Results!$H$2:$H$482,"DNF")&gt;0,"DNF","•")))</f>
        <v/>
      </c>
      <c r="F23" s="20" t="str">
        <f aca="false">IF(COUNTIFS(Results!$F$2:$F$482,$A23,Results!$A$2:$A$482,F$4)=0,"",IF(COUNTIFS(Results!$F$2:$F$482,$A23,Results!$A$2:$A$482,F$4,Results!$G$2:$G$482,"&gt;0")&gt;0,_xlfn.MINIFS(Results!$G$2:$G$482,Results!$F$2:$F$482,$A23,Results!$A$2:$A$482,F$4,Results!$G$2:$G$482,"&gt;0"),IF(COUNTIFS(Results!$F$2:$F$482,$A23,Results!$A$2:$A$482,F$4,Results!$H$2:$H$482,"DNF")&gt;0,"DNF","•")))</f>
        <v/>
      </c>
      <c r="G23" s="20" t="str">
        <f aca="false">IF(COUNTIFS(Results!$F$2:$F$482,$A23,Results!$A$2:$A$482,G$4)=0,"",IF(COUNTIFS(Results!$F$2:$F$482,$A23,Results!$A$2:$A$482,G$4,Results!$G$2:$G$482,"&gt;0")&gt;0,_xlfn.MINIFS(Results!$G$2:$G$482,Results!$F$2:$F$482,$A23,Results!$A$2:$A$482,G$4,Results!$G$2:$G$482,"&gt;0"),IF(COUNTIFS(Results!$F$2:$F$482,$A23,Results!$A$2:$A$482,G$4,Results!$H$2:$H$482,"DNF")&gt;0,"DNF","•")))</f>
        <v/>
      </c>
      <c r="H23" s="20" t="str">
        <f aca="false">IF(COUNTIFS(Results!$F$2:$F$482,$A23,Results!$A$2:$A$482,H$4)=0,"",IF(COUNTIFS(Results!$F$2:$F$482,$A23,Results!$A$2:$A$482,H$4,Results!$G$2:$G$482,"&gt;0")&gt;0,_xlfn.MINIFS(Results!$G$2:$G$482,Results!$F$2:$F$482,$A23,Results!$A$2:$A$482,H$4,Results!$G$2:$G$482,"&gt;0"),IF(COUNTIFS(Results!$F$2:$F$482,$A23,Results!$A$2:$A$482,H$4,Results!$H$2:$H$482,"DNF")&gt;0,"DNF","•")))</f>
        <v/>
      </c>
      <c r="I23" s="20" t="str">
        <f aca="false">IF(COUNTIFS(Results!$F$2:$F$482,$A23,Results!$A$2:$A$482,I$4)=0,"",IF(COUNTIFS(Results!$F$2:$F$482,$A23,Results!$A$2:$A$482,I$4,Results!$G$2:$G$482,"&gt;0")&gt;0,_xlfn.MINIFS(Results!$G$2:$G$482,Results!$F$2:$F$482,$A23,Results!$A$2:$A$482,I$4,Results!$G$2:$G$482,"&gt;0"),IF(COUNTIFS(Results!$F$2:$F$482,$A23,Results!$A$2:$A$482,I$4,Results!$H$2:$H$482,"DNF")&gt;0,"DNF","•")))</f>
        <v/>
      </c>
      <c r="J23" s="20" t="str">
        <f aca="false">IF(COUNTIFS(Results!$F$2:$F$482,$A23,Results!$A$2:$A$482,J$4)=0,"",IF(COUNTIFS(Results!$F$2:$F$482,$A23,Results!$A$2:$A$482,J$4,Results!$G$2:$G$482,"&gt;0")&gt;0,_xlfn.MINIFS(Results!$G$2:$G$482,Results!$F$2:$F$482,$A23,Results!$A$2:$A$482,J$4,Results!$G$2:$G$482,"&gt;0"),IF(COUNTIFS(Results!$F$2:$F$482,$A23,Results!$A$2:$A$482,J$4,Results!$H$2:$H$482,"DNF")&gt;0,"DNF","•")))</f>
        <v/>
      </c>
      <c r="K23" s="20" t="str">
        <f aca="false">IF(COUNTIFS(Results!$F$2:$F$482,$A23,Results!$A$2:$A$482,K$4)=0,"",IF(COUNTIFS(Results!$F$2:$F$482,$A23,Results!$A$2:$A$482,K$4,Results!$G$2:$G$482,"&gt;0")&gt;0,_xlfn.MINIFS(Results!$G$2:$G$482,Results!$F$2:$F$482,$A23,Results!$A$2:$A$482,K$4,Results!$G$2:$G$482,"&gt;0"),IF(COUNTIFS(Results!$F$2:$F$482,$A23,Results!$A$2:$A$482,K$4,Results!$H$2:$H$482,"DNF")&gt;0,"DNF","•")))</f>
        <v/>
      </c>
      <c r="L23" s="20" t="str">
        <f aca="false">IF(COUNTIFS(Results!$F$2:$F$482,$A23,Results!$A$2:$A$482,L$4)=0,"",IF(COUNTIFS(Results!$F$2:$F$482,$A23,Results!$A$2:$A$482,L$4,Results!$G$2:$G$482,"&gt;0")&gt;0,_xlfn.MINIFS(Results!$G$2:$G$482,Results!$F$2:$F$482,$A23,Results!$A$2:$A$482,L$4,Results!$G$2:$G$482,"&gt;0"),IF(COUNTIFS(Results!$F$2:$F$482,$A23,Results!$A$2:$A$482,L$4,Results!$H$2:$H$482,"DNF")&gt;0,"DNF","•")))</f>
        <v/>
      </c>
      <c r="M23" s="20" t="str">
        <f aca="false">IF(COUNTIFS(Results!$F$2:$F$482,$A23,Results!$A$2:$A$482,M$4)=0,"",IF(COUNTIFS(Results!$F$2:$F$482,$A23,Results!$A$2:$A$482,M$4,Results!$G$2:$G$482,"&gt;0")&gt;0,_xlfn.MINIFS(Results!$G$2:$G$482,Results!$F$2:$F$482,$A23,Results!$A$2:$A$482,M$4,Results!$G$2:$G$482,"&gt;0"),IF(COUNTIFS(Results!$F$2:$F$482,$A23,Results!$A$2:$A$482,M$4,Results!$H$2:$H$482,"DNF")&gt;0,"DNF","•")))</f>
        <v/>
      </c>
      <c r="N23" s="20" t="str">
        <f aca="false">IF(COUNTIFS(Results!$F$2:$F$482,$A23,Results!$A$2:$A$482,N$4)=0,"",IF(COUNTIFS(Results!$F$2:$F$482,$A23,Results!$A$2:$A$482,N$4,Results!$G$2:$G$482,"&gt;0")&gt;0,_xlfn.MINIFS(Results!$G$2:$G$482,Results!$F$2:$F$482,$A23,Results!$A$2:$A$482,N$4,Results!$G$2:$G$482,"&gt;0"),IF(COUNTIFS(Results!$F$2:$F$482,$A23,Results!$A$2:$A$482,N$4,Results!$H$2:$H$482,"DNF")&gt;0,"DNF","•")))</f>
        <v/>
      </c>
      <c r="O23" s="20" t="str">
        <f aca="false">IF(COUNTIFS(Results!$F$2:$F$482,$A23,Results!$A$2:$A$482,O$4)=0,"",IF(COUNTIFS(Results!$F$2:$F$482,$A23,Results!$A$2:$A$482,O$4,Results!$G$2:$G$482,"&gt;0")&gt;0,_xlfn.MINIFS(Results!$G$2:$G$482,Results!$F$2:$F$482,$A23,Results!$A$2:$A$482,O$4,Results!$G$2:$G$482,"&gt;0"),IF(COUNTIFS(Results!$F$2:$F$482,$A23,Results!$A$2:$A$482,O$4,Results!$H$2:$H$482,"DNF")&gt;0,"DNF","•")))</f>
        <v/>
      </c>
      <c r="P23" s="20" t="str">
        <f aca="false">IF(COUNTIFS(Results!$F$2:$F$482,$A23,Results!$A$2:$A$482,P$4)=0,"",IF(COUNTIFS(Results!$F$2:$F$482,$A23,Results!$A$2:$A$482,P$4,Results!$G$2:$G$482,"&gt;0")&gt;0,_xlfn.MINIFS(Results!$G$2:$G$482,Results!$F$2:$F$482,$A23,Results!$A$2:$A$482,P$4,Results!$G$2:$G$482,"&gt;0"),IF(COUNTIFS(Results!$F$2:$F$482,$A23,Results!$A$2:$A$482,P$4,Results!$H$2:$H$482,"DNF")&gt;0,"DNF","•")))</f>
        <v/>
      </c>
      <c r="Q23" s="20" t="str">
        <f aca="false">IF(COUNTIFS(Results!$F$2:$F$482,$A23,Results!$A$2:$A$482,Q$4)=0,"",IF(COUNTIFS(Results!$F$2:$F$482,$A23,Results!$A$2:$A$482,Q$4,Results!$G$2:$G$482,"&gt;0")&gt;0,_xlfn.MINIFS(Results!$G$2:$G$482,Results!$F$2:$F$482,$A23,Results!$A$2:$A$482,Q$4,Results!$G$2:$G$482,"&gt;0"),IF(COUNTIFS(Results!$F$2:$F$482,$A23,Results!$A$2:$A$482,Q$4,Results!$H$2:$H$482,"DNF")&gt;0,"DNF","•")))</f>
        <v/>
      </c>
      <c r="R23" s="20" t="str">
        <f aca="false">IF(COUNTIFS(Results!$F$2:$F$482,$A23,Results!$A$2:$A$482,R$4)=0,"",IF(COUNTIFS(Results!$F$2:$F$482,$A23,Results!$A$2:$A$482,R$4,Results!$G$2:$G$482,"&gt;0")&gt;0,_xlfn.MINIFS(Results!$G$2:$G$482,Results!$F$2:$F$482,$A23,Results!$A$2:$A$482,R$4,Results!$G$2:$G$482,"&gt;0"),IF(COUNTIFS(Results!$F$2:$F$482,$A23,Results!$A$2:$A$482,R$4,Results!$H$2:$H$482,"DNF")&gt;0,"DNF","•")))</f>
        <v/>
      </c>
      <c r="S23" s="20" t="str">
        <f aca="false">IF(COUNTIFS(Results!$F$2:$F$482,$A23,Results!$A$2:$A$482,S$4)=0,"",IF(COUNTIFS(Results!$F$2:$F$482,$A23,Results!$A$2:$A$482,S$4,Results!$G$2:$G$482,"&gt;0")&gt;0,_xlfn.MINIFS(Results!$G$2:$G$482,Results!$F$2:$F$482,$A23,Results!$A$2:$A$482,S$4,Results!$G$2:$G$482,"&gt;0"),IF(COUNTIFS(Results!$F$2:$F$482,$A23,Results!$A$2:$A$482,S$4,Results!$H$2:$H$482,"DNF")&gt;0,"DNF","•")))</f>
        <v/>
      </c>
      <c r="T23" s="20" t="n">
        <f aca="false">IF(COUNTIFS(Results!$F$2:$F$482,$A23,Results!$A$2:$A$482,T$4)=0,"",IF(COUNTIFS(Results!$F$2:$F$482,$A23,Results!$A$2:$A$482,T$4,Results!$G$2:$G$482,"&gt;0")&gt;0,_xlfn.MINIFS(Results!$G$2:$G$482,Results!$F$2:$F$482,$A23,Results!$A$2:$A$482,T$4,Results!$G$2:$G$482,"&gt;0"),IF(COUNTIFS(Results!$F$2:$F$482,$A23,Results!$A$2:$A$482,T$4,Results!$H$2:$H$482,"DNF")&gt;0,"DNF","•")))</f>
        <v>2</v>
      </c>
      <c r="U23" s="20" t="str">
        <f aca="false">IF(COUNTIFS(Results!$F$2:$F$482,$A23,Results!$A$2:$A$482,U$4)=0,"",IF(COUNTIFS(Results!$F$2:$F$482,$A23,Results!$A$2:$A$482,U$4,Results!$G$2:$G$482,"&gt;0")&gt;0,_xlfn.MINIFS(Results!$G$2:$G$482,Results!$F$2:$F$482,$A23,Results!$A$2:$A$482,U$4,Results!$G$2:$G$482,"&gt;0"),IF(COUNTIFS(Results!$F$2:$F$482,$A23,Results!$A$2:$A$482,U$4,Results!$H$2:$H$482,"DNF")&gt;0,"DNF","•")))</f>
        <v/>
      </c>
      <c r="V23" s="20" t="str">
        <f aca="false">IF(COUNTIFS(Results!$F$2:$F$482,$A23,Results!$A$2:$A$482,V$4)=0,"",IF(COUNTIFS(Results!$F$2:$F$482,$A23,Results!$A$2:$A$482,V$4,Results!$G$2:$G$482,"&gt;0")&gt;0,_xlfn.MINIFS(Results!$G$2:$G$482,Results!$F$2:$F$482,$A23,Results!$A$2:$A$482,V$4,Results!$G$2:$G$482,"&gt;0"),IF(COUNTIFS(Results!$F$2:$F$482,$A23,Results!$A$2:$A$482,V$4,Results!$H$2:$H$482,"DNF")&gt;0,"DNF","•")))</f>
        <v/>
      </c>
      <c r="W23" s="20" t="str">
        <f aca="false">IF(COUNTIFS(Results!$F$2:$F$482,$A23,Results!$A$2:$A$482,W$4)=0,"",IF(COUNTIFS(Results!$F$2:$F$482,$A23,Results!$A$2:$A$482,W$4,Results!$G$2:$G$482,"&gt;0")&gt;0,_xlfn.MINIFS(Results!$G$2:$G$482,Results!$F$2:$F$482,$A23,Results!$A$2:$A$482,W$4,Results!$G$2:$G$482,"&gt;0"),IF(COUNTIFS(Results!$F$2:$F$482,$A23,Results!$A$2:$A$482,W$4,Results!$H$2:$H$482,"DNF")&gt;0,"DNF","•")))</f>
        <v/>
      </c>
      <c r="X23" s="20" t="str">
        <f aca="false">IF(COUNTIFS(Results!$F$2:$F$482,$A23,Results!$A$2:$A$482,X$4)=0,"",IF(COUNTIFS(Results!$F$2:$F$482,$A23,Results!$A$2:$A$482,X$4,Results!$G$2:$G$482,"&gt;0")&gt;0,_xlfn.MINIFS(Results!$G$2:$G$482,Results!$F$2:$F$482,$A23,Results!$A$2:$A$482,X$4,Results!$G$2:$G$482,"&gt;0"),IF(COUNTIFS(Results!$F$2:$F$482,$A23,Results!$A$2:$A$482,X$4,Results!$H$2:$H$482,"DNF")&gt;0,"DNF","•")))</f>
        <v/>
      </c>
      <c r="Y23" s="20" t="str">
        <f aca="false">IF(COUNTIFS(Results!$F$2:$F$482,$A23,Results!$A$2:$A$482,Y$4)=0,"",IF(COUNTIFS(Results!$F$2:$F$482,$A23,Results!$A$2:$A$482,Y$4,Results!$G$2:$G$482,"&gt;0")&gt;0,_xlfn.MINIFS(Results!$G$2:$G$482,Results!$F$2:$F$482,$A23,Results!$A$2:$A$482,Y$4,Results!$G$2:$G$482,"&gt;0"),IF(COUNTIFS(Results!$F$2:$F$482,$A23,Results!$A$2:$A$482,Y$4,Results!$H$2:$H$482,"DNF")&gt;0,"DNF","•")))</f>
        <v/>
      </c>
      <c r="Z23" s="20" t="str">
        <f aca="false">IF(COUNTIFS(Results!$F$2:$F$482,$A23,Results!$A$2:$A$482,Z$4)=0,"",IF(COUNTIFS(Results!$F$2:$F$482,$A23,Results!$A$2:$A$482,Z$4,Results!$G$2:$G$482,"&gt;0")&gt;0,_xlfn.MINIFS(Results!$G$2:$G$482,Results!$F$2:$F$482,$A23,Results!$A$2:$A$482,Z$4,Results!$G$2:$G$482,"&gt;0"),IF(COUNTIFS(Results!$F$2:$F$482,$A23,Results!$A$2:$A$482,Z$4,Results!$H$2:$H$482,"DNF")&gt;0,"DNF","•")))</f>
        <v/>
      </c>
      <c r="AA23" s="20" t="str">
        <f aca="false">IF(COUNTIFS(Results!$F$2:$F$482,$A23,Results!$A$2:$A$482,AA$4)=0,"",IF(COUNTIFS(Results!$F$2:$F$482,$A23,Results!$A$2:$A$482,AA$4,Results!$G$2:$G$482,"&gt;0")&gt;0,_xlfn.MINIFS(Results!$G$2:$G$482,Results!$F$2:$F$482,$A23,Results!$A$2:$A$482,AA$4,Results!$G$2:$G$482,"&gt;0"),IF(COUNTIFS(Results!$F$2:$F$482,$A23,Results!$A$2:$A$482,AA$4,Results!$H$2:$H$482,"DNF")&gt;0,"DNF","•")))</f>
        <v/>
      </c>
      <c r="AB23" s="20" t="str">
        <f aca="false">IF(COUNTIFS(Results!$F$2:$F$482,$A23,Results!$A$2:$A$482,AB$4)=0,"",IF(COUNTIFS(Results!$F$2:$F$482,$A23,Results!$A$2:$A$482,AB$4,Results!$G$2:$G$482,"&gt;0")&gt;0,_xlfn.MINIFS(Results!$G$2:$G$482,Results!$F$2:$F$482,$A23,Results!$A$2:$A$482,AB$4,Results!$G$2:$G$482,"&gt;0"),IF(COUNTIFS(Results!$F$2:$F$482,$A23,Results!$A$2:$A$482,AB$4,Results!$H$2:$H$482,"DNF")&gt;0,"DNF","•")))</f>
        <v/>
      </c>
      <c r="AC23" s="20" t="str">
        <f aca="false">IF(COUNTIFS(Results!$F$2:$F$482,$A23,Results!$A$2:$A$482,AC$4)=0,"",IF(COUNTIFS(Results!$F$2:$F$482,$A23,Results!$A$2:$A$482,AC$4,Results!$G$2:$G$482,"&gt;0")&gt;0,_xlfn.MINIFS(Results!$G$2:$G$482,Results!$F$2:$F$482,$A23,Results!$A$2:$A$482,AC$4,Results!$G$2:$G$482,"&gt;0"),IF(COUNTIFS(Results!$F$2:$F$482,$A23,Results!$A$2:$A$482,AC$4,Results!$H$2:$H$482,"DNF")&gt;0,"DNF","•")))</f>
        <v/>
      </c>
      <c r="AD23" s="20" t="str">
        <f aca="false">IF(COUNTIFS(Results!$F$2:$F$482,$A23,Results!$A$2:$A$482,AD$4)=0,"",IF(COUNTIFS(Results!$F$2:$F$482,$A23,Results!$A$2:$A$482,AD$4,Results!$G$2:$G$482,"&gt;0")&gt;0,_xlfn.MINIFS(Results!$G$2:$G$482,Results!$F$2:$F$482,$A23,Results!$A$2:$A$482,AD$4,Results!$G$2:$G$482,"&gt;0"),IF(COUNTIFS(Results!$F$2:$F$482,$A23,Results!$A$2:$A$482,AD$4,Results!$H$2:$H$482,"DNF")&gt;0,"DNF","•")))</f>
        <v/>
      </c>
      <c r="AE23" s="20" t="str">
        <f aca="false">IF(COUNTIFS(Results!$F$2:$F$482,$A23,Results!$A$2:$A$482,AE$4)=0,"",IF(COUNTIFS(Results!$F$2:$F$482,$A23,Results!$A$2:$A$482,AE$4,Results!$G$2:$G$482,"&gt;0")&gt;0,_xlfn.MINIFS(Results!$G$2:$G$482,Results!$F$2:$F$482,$A23,Results!$A$2:$A$482,AE$4,Results!$G$2:$G$482,"&gt;0"),IF(COUNTIFS(Results!$F$2:$F$482,$A23,Results!$A$2:$A$482,AE$4,Results!$H$2:$H$482,"DNF")&gt;0,"DNF","•")))</f>
        <v/>
      </c>
      <c r="AF23" s="20" t="str">
        <f aca="false">IF(COUNTIFS(Results!$F$2:$F$482,$A23,Results!$A$2:$A$482,AF$4)=0,"",IF(COUNTIFS(Results!$F$2:$F$482,$A23,Results!$A$2:$A$482,AF$4,Results!$G$2:$G$482,"&gt;0")&gt;0,_xlfn.MINIFS(Results!$G$2:$G$482,Results!$F$2:$F$482,$A23,Results!$A$2:$A$482,AF$4,Results!$G$2:$G$482,"&gt;0"),IF(COUNTIFS(Results!$F$2:$F$482,$A23,Results!$A$2:$A$482,AF$4,Results!$H$2:$H$482,"DNF")&gt;0,"DNF","•")))</f>
        <v/>
      </c>
      <c r="AG23" s="20" t="str">
        <f aca="false">IF(COUNTIFS(Results!$F$2:$F$482,$A23,Results!$A$2:$A$482,AG$4)=0,"",IF(COUNTIFS(Results!$F$2:$F$482,$A23,Results!$A$2:$A$482,AG$4,Results!$G$2:$G$482,"&gt;0")&gt;0,_xlfn.MINIFS(Results!$G$2:$G$482,Results!$F$2:$F$482,$A23,Results!$A$2:$A$482,AG$4,Results!$G$2:$G$482,"&gt;0"),IF(COUNTIFS(Results!$F$2:$F$482,$A23,Results!$A$2:$A$482,AG$4,Results!$H$2:$H$482,"DNF")&gt;0,"DNF","•")))</f>
        <v/>
      </c>
      <c r="AH23" s="20" t="str">
        <f aca="false">IF(COUNTIFS(Results!$F$2:$F$482,$A23,Results!$A$2:$A$482,AH$4)=0,"",IF(COUNTIFS(Results!$F$2:$F$482,$A23,Results!$A$2:$A$482,AH$4,Results!$G$2:$G$482,"&gt;0")&gt;0,_xlfn.MINIFS(Results!$G$2:$G$482,Results!$F$2:$F$482,$A23,Results!$A$2:$A$482,AH$4,Results!$G$2:$G$482,"&gt;0"),IF(COUNTIFS(Results!$F$2:$F$482,$A23,Results!$A$2:$A$482,AH$4,Results!$H$2:$H$482,"DNF")&gt;0,"DNF","•")))</f>
        <v/>
      </c>
      <c r="AI23" s="20" t="str">
        <f aca="false">IF(COUNTIFS(Results!$F$2:$F$482,$A23,Results!$A$2:$A$482,AI$4)=0,"",IF(COUNTIFS(Results!$F$2:$F$482,$A23,Results!$A$2:$A$482,AI$4,Results!$G$2:$G$482,"&gt;0")&gt;0,_xlfn.MINIFS(Results!$G$2:$G$482,Results!$F$2:$F$482,$A23,Results!$A$2:$A$482,AI$4,Results!$G$2:$G$482,"&gt;0"),IF(COUNTIFS(Results!$F$2:$F$482,$A23,Results!$A$2:$A$482,AI$4,Results!$H$2:$H$482,"DNF")&gt;0,"DNF","•")))</f>
        <v/>
      </c>
      <c r="AJ23" s="20" t="n">
        <f aca="false">IF(COUNTIFS(Results!$F$2:$F$482,$A23,Results!$A$2:$A$482,AJ$4)=0,"",IF(COUNTIFS(Results!$F$2:$F$482,$A23,Results!$A$2:$A$482,AJ$4,Results!$G$2:$G$482,"&gt;0")&gt;0,_xlfn.MINIFS(Results!$G$2:$G$482,Results!$F$2:$F$482,$A23,Results!$A$2:$A$482,AJ$4,Results!$G$2:$G$482,"&gt;0"),IF(COUNTIFS(Results!$F$2:$F$482,$A23,Results!$A$2:$A$482,AJ$4,Results!$H$2:$H$482,"DNF")&gt;0,"DNF","•")))</f>
        <v>8</v>
      </c>
      <c r="AK23" s="20" t="str">
        <f aca="false">IF(COUNTIFS(Results!$F$2:$F$482,$A23,Results!$A$2:$A$482,AK$4)=0,"",IF(COUNTIFS(Results!$F$2:$F$482,$A23,Results!$A$2:$A$482,AK$4,Results!$G$2:$G$482,"&gt;0")&gt;0,_xlfn.MINIFS(Results!$G$2:$G$482,Results!$F$2:$F$482,$A23,Results!$A$2:$A$482,AK$4,Results!$G$2:$G$482,"&gt;0"),IF(COUNTIFS(Results!$F$2:$F$482,$A23,Results!$A$2:$A$482,AK$4,Results!$H$2:$H$482,"DNF")&gt;0,"DNF","•")))</f>
        <v/>
      </c>
      <c r="AL23" s="20" t="str">
        <f aca="false">IF(COUNTIFS(Results!$F$2:$F$482,$A23,Results!$A$2:$A$482,AL$4)=0,"",IF(COUNTIFS(Results!$F$2:$F$482,$A23,Results!$A$2:$A$482,AL$4,Results!$G$2:$G$482,"&gt;0")&gt;0,_xlfn.MINIFS(Results!$G$2:$G$482,Results!$F$2:$F$482,$A23,Results!$A$2:$A$482,AL$4,Results!$G$2:$G$482,"&gt;0"),IF(COUNTIFS(Results!$F$2:$F$482,$A23,Results!$A$2:$A$482,AL$4,Results!$H$2:$H$482,"DNF")&gt;0,"DNF","•")))</f>
        <v/>
      </c>
      <c r="AM23" s="20" t="str">
        <f aca="false">IF(COUNTIFS(Results!$F$2:$F$482,$A23,Results!$A$2:$A$482,AM$4)=0,"",IF(COUNTIFS(Results!$F$2:$F$482,$A23,Results!$A$2:$A$482,AM$4,Results!$G$2:$G$482,"&gt;0")&gt;0,_xlfn.MINIFS(Results!$G$2:$G$482,Results!$F$2:$F$482,$A23,Results!$A$2:$A$482,AM$4,Results!$G$2:$G$482,"&gt;0"),IF(COUNTIFS(Results!$F$2:$F$482,$A23,Results!$A$2:$A$482,AM$4,Results!$H$2:$H$482,"DNF")&gt;0,"DNF","•")))</f>
        <v/>
      </c>
      <c r="AN23" s="20" t="str">
        <f aca="false">IF(COUNTIFS(Results!$F$2:$F$482,$A23,Results!$A$2:$A$482,AN$4)=0,"",IF(COUNTIFS(Results!$F$2:$F$482,$A23,Results!$A$2:$A$482,AN$4,Results!$G$2:$G$482,"&gt;0")&gt;0,_xlfn.MINIFS(Results!$G$2:$G$482,Results!$F$2:$F$482,$A23,Results!$A$2:$A$482,AN$4,Results!$G$2:$G$482,"&gt;0"),IF(COUNTIFS(Results!$F$2:$F$482,$A23,Results!$A$2:$A$482,AN$4,Results!$H$2:$H$482,"DNF")&gt;0,"DNF","•")))</f>
        <v/>
      </c>
      <c r="AO23" s="20" t="str">
        <f aca="false">IF(COUNTIFS(Results!$F$2:$F$482,$A23,Results!$A$2:$A$482,AO$4)=0,"",IF(COUNTIFS(Results!$F$2:$F$482,$A23,Results!$A$2:$A$482,AO$4,Results!$G$2:$G$482,"&gt;0")&gt;0,_xlfn.MINIFS(Results!$G$2:$G$482,Results!$F$2:$F$482,$A23,Results!$A$2:$A$482,AO$4,Results!$G$2:$G$482,"&gt;0"),IF(COUNTIFS(Results!$F$2:$F$482,$A23,Results!$A$2:$A$482,AO$4,Results!$H$2:$H$482,"DNF")&gt;0,"DNF","•")))</f>
        <v/>
      </c>
      <c r="AP23" s="20" t="str">
        <f aca="false">IF(COUNTIFS(Results!$F$2:$F$482,$A23,Results!$A$2:$A$482,AP$4)=0,"",IF(COUNTIFS(Results!$F$2:$F$482,$A23,Results!$A$2:$A$482,AP$4,Results!$G$2:$G$482,"&gt;0")&gt;0,_xlfn.MINIFS(Results!$G$2:$G$482,Results!$F$2:$F$482,$A23,Results!$A$2:$A$482,AP$4,Results!$G$2:$G$482,"&gt;0"),IF(COUNTIFS(Results!$F$2:$F$482,$A23,Results!$A$2:$A$482,AP$4,Results!$H$2:$H$482,"DNF")&gt;0,"DNF","•")))</f>
        <v/>
      </c>
      <c r="AQ23" s="20" t="str">
        <f aca="false">IF(COUNTIFS(Results!$F$2:$F$482,$A23,Results!$A$2:$A$482,AQ$4)=0,"",IF(COUNTIFS(Results!$F$2:$F$482,$A23,Results!$A$2:$A$482,AQ$4,Results!$G$2:$G$482,"&gt;0")&gt;0,_xlfn.MINIFS(Results!$G$2:$G$482,Results!$F$2:$F$482,$A23,Results!$A$2:$A$482,AQ$4,Results!$G$2:$G$482,"&gt;0"),IF(COUNTIFS(Results!$F$2:$F$482,$A23,Results!$A$2:$A$482,AQ$4,Results!$H$2:$H$482,"DNF")&gt;0,"DNF","•")))</f>
        <v/>
      </c>
      <c r="AR23" s="20" t="str">
        <f aca="false">IF(COUNTIFS(Results!$F$2:$F$482,$A23,Results!$A$2:$A$482,AR$4)=0,"",IF(COUNTIFS(Results!$F$2:$F$482,$A23,Results!$A$2:$A$482,AR$4,Results!$G$2:$G$482,"&gt;0")&gt;0,_xlfn.MINIFS(Results!$G$2:$G$482,Results!$F$2:$F$482,$A23,Results!$A$2:$A$482,AR$4,Results!$G$2:$G$482,"&gt;0"),IF(COUNTIFS(Results!$F$2:$F$482,$A23,Results!$A$2:$A$482,AR$4,Results!$H$2:$H$482,"DNF")&gt;0,"DNF","•")))</f>
        <v/>
      </c>
      <c r="AS23" s="20" t="str">
        <f aca="false">IF(COUNTIFS(Results!$F$2:$F$482,$A23,Results!$A$2:$A$482,AS$4)=0,"",IF(COUNTIFS(Results!$F$2:$F$482,$A23,Results!$A$2:$A$482,AS$4,Results!$G$2:$G$482,"&gt;0")&gt;0,_xlfn.MINIFS(Results!$G$2:$G$482,Results!$F$2:$F$482,$A23,Results!$A$2:$A$482,AS$4,Results!$G$2:$G$482,"&gt;0"),IF(COUNTIFS(Results!$F$2:$F$482,$A23,Results!$A$2:$A$482,AS$4,Results!$H$2:$H$482,"DNF")&gt;0,"DNF","•")))</f>
        <v/>
      </c>
      <c r="AT23" s="20" t="str">
        <f aca="false">IF(COUNTIFS(Results!$F$2:$F$482,$A23,Results!$A$2:$A$482,AT$4)=0,"",IF(COUNTIFS(Results!$F$2:$F$482,$A23,Results!$A$2:$A$482,AT$4,Results!$G$2:$G$482,"&gt;0")&gt;0,_xlfn.MINIFS(Results!$G$2:$G$482,Results!$F$2:$F$482,$A23,Results!$A$2:$A$482,AT$4,Results!$G$2:$G$482,"&gt;0"),IF(COUNTIFS(Results!$F$2:$F$482,$A23,Results!$A$2:$A$482,AT$4,Results!$H$2:$H$482,"DNF")&gt;0,"DNF","•")))</f>
        <v/>
      </c>
      <c r="AU23" s="20" t="str">
        <f aca="false">IF(COUNTIFS(Results!$F$2:$F$482,$A23,Results!$A$2:$A$482,AU$4)=0,"",IF(COUNTIFS(Results!$F$2:$F$482,$A23,Results!$A$2:$A$482,AU$4,Results!$G$2:$G$482,"&gt;0")&gt;0,_xlfn.MINIFS(Results!$G$2:$G$482,Results!$F$2:$F$482,$A23,Results!$A$2:$A$482,AU$4,Results!$G$2:$G$482,"&gt;0"),IF(COUNTIFS(Results!$F$2:$F$482,$A23,Results!$A$2:$A$482,AU$4,Results!$H$2:$H$482,"DNF")&gt;0,"DNF","•")))</f>
        <v/>
      </c>
      <c r="AV23" s="20" t="str">
        <f aca="false">IF(COUNTIFS(Results!$F$2:$F$482,$A23,Results!$A$2:$A$482,AV$4)=0,"",IF(COUNTIFS(Results!$F$2:$F$482,$A23,Results!$A$2:$A$482,AV$4,Results!$G$2:$G$482,"&gt;0")&gt;0,_xlfn.MINIFS(Results!$G$2:$G$482,Results!$F$2:$F$482,$A23,Results!$A$2:$A$482,AV$4,Results!$G$2:$G$482,"&gt;0"),IF(COUNTIFS(Results!$F$2:$F$482,$A23,Results!$A$2:$A$482,AV$4,Results!$H$2:$H$482,"DNF")&gt;0,"DNF","•")))</f>
        <v/>
      </c>
      <c r="AW23" s="20" t="str">
        <f aca="false">IF(COUNTIFS(Results!$F$2:$F$482,$A23,Results!$A$2:$A$482,AW$4)=0,"",IF(COUNTIFS(Results!$F$2:$F$482,$A23,Results!$A$2:$A$482,AW$4,Results!$G$2:$G$482,"&gt;0")&gt;0,_xlfn.MINIFS(Results!$G$2:$G$482,Results!$F$2:$F$482,$A23,Results!$A$2:$A$482,AW$4,Results!$G$2:$G$482,"&gt;0"),IF(COUNTIFS(Results!$F$2:$F$482,$A23,Results!$A$2:$A$482,AW$4,Results!$H$2:$H$482,"DNF")&gt;0,"DNF","•")))</f>
        <v/>
      </c>
      <c r="AX23" s="20" t="str">
        <f aca="false">IF(COUNTIFS(Results!$F$2:$F$482,$A23,Results!$A$2:$A$482,AX$4)=0,"",IF(COUNTIFS(Results!$F$2:$F$482,$A23,Results!$A$2:$A$482,AX$4,Results!$G$2:$G$482,"&gt;0")&gt;0,_xlfn.MINIFS(Results!$G$2:$G$482,Results!$F$2:$F$482,$A23,Results!$A$2:$A$482,AX$4,Results!$G$2:$G$482,"&gt;0"),IF(COUNTIFS(Results!$F$2:$F$482,$A23,Results!$A$2:$A$482,AX$4,Results!$H$2:$H$482,"DNF")&gt;0,"DNF","•")))</f>
        <v/>
      </c>
      <c r="AY23" s="20" t="str">
        <f aca="false">IF(COUNTIFS(Results!$F$2:$F$482,$A23,Results!$A$2:$A$482,AY$4)=0,"",IF(COUNTIFS(Results!$F$2:$F$482,$A23,Results!$A$2:$A$482,AY$4,Results!$G$2:$G$482,"&gt;0")&gt;0,_xlfn.MINIFS(Results!$G$2:$G$482,Results!$F$2:$F$482,$A23,Results!$A$2:$A$482,AY$4,Results!$G$2:$G$482,"&gt;0"),IF(COUNTIFS(Results!$F$2:$F$482,$A23,Results!$A$2:$A$482,AY$4,Results!$H$2:$H$482,"DNF")&gt;0,"DNF","•")))</f>
        <v/>
      </c>
      <c r="AZ23" s="20" t="str">
        <f aca="false">IF(COUNTIFS(Results!$F$2:$F$482,$A23,Results!$A$2:$A$482,AZ$4)=0,"",IF(COUNTIFS(Results!$F$2:$F$482,$A23,Results!$A$2:$A$482,AZ$4,Results!$G$2:$G$482,"&gt;0")&gt;0,_xlfn.MINIFS(Results!$G$2:$G$482,Results!$F$2:$F$482,$A23,Results!$A$2:$A$482,AZ$4,Results!$G$2:$G$482,"&gt;0"),IF(COUNTIFS(Results!$F$2:$F$482,$A23,Results!$A$2:$A$482,AZ$4,Results!$H$2:$H$482,"DNF")&gt;0,"DNF","•")))</f>
        <v/>
      </c>
      <c r="BA23" s="20" t="n">
        <f aca="false">IF(COUNTIFS(Results!$F$2:$F$482,$A23,Results!$A$2:$A$482,BA$4)=0,"",IF(COUNTIFS(Results!$F$2:$F$482,$A23,Results!$A$2:$A$482,BA$4,Results!$G$2:$G$482,"&gt;0")&gt;0,_xlfn.MINIFS(Results!$G$2:$G$482,Results!$F$2:$F$482,$A23,Results!$A$2:$A$482,BA$4,Results!$G$2:$G$482,"&gt;0"),IF(COUNTIFS(Results!$F$2:$F$482,$A23,Results!$A$2:$A$482,BA$4,Results!$H$2:$H$482,"DNF")&gt;0,"DNF","•")))</f>
        <v>47</v>
      </c>
      <c r="BB23" s="20" t="str">
        <f aca="false">IF(COUNTIFS(Results!$F$2:$F$482,$A23,Results!$A$2:$A$482,BB$4)=0,"",IF(COUNTIFS(Results!$F$2:$F$482,$A23,Results!$A$2:$A$482,BB$4,Results!$G$2:$G$482,"&gt;0")&gt;0,_xlfn.MINIFS(Results!$G$2:$G$482,Results!$F$2:$F$482,$A23,Results!$A$2:$A$482,BB$4,Results!$G$2:$G$482,"&gt;0"),IF(COUNTIFS(Results!$F$2:$F$482,$A23,Results!$A$2:$A$482,BB$4,Results!$H$2:$H$482,"DNF")&gt;0,"DNF","•")))</f>
        <v/>
      </c>
      <c r="BC23" s="20" t="str">
        <f aca="false">IF(COUNTIFS(Results!$F$2:$F$482,$A23,Results!$A$2:$A$482,BC$4)=0,"",IF(COUNTIFS(Results!$F$2:$F$482,$A23,Results!$A$2:$A$482,BC$4,Results!$G$2:$G$482,"&gt;0")&gt;0,_xlfn.MINIFS(Results!$G$2:$G$482,Results!$F$2:$F$482,$A23,Results!$A$2:$A$482,BC$4,Results!$G$2:$G$482,"&gt;0"),IF(COUNTIFS(Results!$F$2:$F$482,$A23,Results!$A$2:$A$482,BC$4,Results!$H$2:$H$482,"DNF")&gt;0,"DNF","•")))</f>
        <v/>
      </c>
      <c r="BD23" s="20" t="str">
        <f aca="false">IF(COUNTIFS(Results!$F$2:$F$482,$A23,Results!$A$2:$A$482,BD$4)=0,"",IF(COUNTIFS(Results!$F$2:$F$482,$A23,Results!$A$2:$A$482,BD$4,Results!$G$2:$G$482,"&gt;0")&gt;0,_xlfn.MINIFS(Results!$G$2:$G$482,Results!$F$2:$F$482,$A23,Results!$A$2:$A$482,BD$4,Results!$G$2:$G$482,"&gt;0"),IF(COUNTIFS(Results!$F$2:$F$482,$A23,Results!$A$2:$A$482,BD$4,Results!$H$2:$H$482,"DNF")&gt;0,"DNF","•")))</f>
        <v/>
      </c>
      <c r="BE23" s="20" t="str">
        <f aca="false">IF(COUNTIFS(Results!$F$2:$F$482,$A23,Results!$A$2:$A$482,BE$4)=0,"",IF(COUNTIFS(Results!$F$2:$F$482,$A23,Results!$A$2:$A$482,BE$4,Results!$G$2:$G$482,"&gt;0")&gt;0,_xlfn.MINIFS(Results!$G$2:$G$482,Results!$F$2:$F$482,$A23,Results!$A$2:$A$482,BE$4,Results!$G$2:$G$482,"&gt;0"),IF(COUNTIFS(Results!$F$2:$F$482,$A23,Results!$A$2:$A$482,BE$4,Results!$H$2:$H$482,"DNF")&gt;0,"DNF","•")))</f>
        <v/>
      </c>
      <c r="BF23" s="20" t="str">
        <f aca="false">IF(COUNTIFS(Results!$F$2:$F$482,$A23,Results!$A$2:$A$482,BF$4)=0,"",IF(COUNTIFS(Results!$F$2:$F$482,$A23,Results!$A$2:$A$482,BF$4,Results!$G$2:$G$482,"&gt;0")&gt;0,_xlfn.MINIFS(Results!$G$2:$G$482,Results!$F$2:$F$482,$A23,Results!$A$2:$A$482,BF$4,Results!$G$2:$G$482,"&gt;0"),IF(COUNTIFS(Results!$F$2:$F$482,$A23,Results!$A$2:$A$482,BF$4,Results!$H$2:$H$482,"DNF")&gt;0,"DNF","•")))</f>
        <v/>
      </c>
      <c r="BG23" s="20" t="n">
        <f aca="false">IF(COUNTIFS(Results!$F$2:$F$482,$A23,Results!$A$2:$A$482,BG$4)=0,"",IF(COUNTIFS(Results!$F$2:$F$482,$A23,Results!$A$2:$A$482,BG$4,Results!$G$2:$G$482,"&gt;0")&gt;0,_xlfn.MINIFS(Results!$G$2:$G$482,Results!$F$2:$F$482,$A23,Results!$A$2:$A$482,BG$4,Results!$G$2:$G$482,"&gt;0"),IF(COUNTIFS(Results!$F$2:$F$482,$A23,Results!$A$2:$A$482,BG$4,Results!$H$2:$H$482,"DNF")&gt;0,"DNF","•")))</f>
        <v>3</v>
      </c>
      <c r="BH23" s="20" t="str">
        <f aca="false">IF(COUNTIFS(Results!$F$2:$F$482,$A23,Results!$A$2:$A$482,BH$4)=0,"",IF(COUNTIFS(Results!$F$2:$F$482,$A23,Results!$A$2:$A$482,BH$4,Results!$G$2:$G$482,"&gt;0")&gt;0,_xlfn.MINIFS(Results!$G$2:$G$482,Results!$F$2:$F$482,$A23,Results!$A$2:$A$482,BH$4,Results!$G$2:$G$482,"&gt;0"),IF(COUNTIFS(Results!$F$2:$F$482,$A23,Results!$A$2:$A$482,BH$4,Results!$H$2:$H$482,"DNF")&gt;0,"DNF","•")))</f>
        <v/>
      </c>
      <c r="BI23" s="20" t="str">
        <f aca="false">IF(COUNTIFS(Results!$F$2:$F$482,$A23,Results!$A$2:$A$482,BI$4)=0,"",IF(COUNTIFS(Results!$F$2:$F$482,$A23,Results!$A$2:$A$482,BI$4,Results!$G$2:$G$482,"&gt;0")&gt;0,_xlfn.MINIFS(Results!$G$2:$G$482,Results!$F$2:$F$482,$A23,Results!$A$2:$A$482,BI$4,Results!$G$2:$G$482,"&gt;0"),IF(COUNTIFS(Results!$F$2:$F$482,$A23,Results!$A$2:$A$482,BI$4,Results!$H$2:$H$482,"DNF")&gt;0,"DNF","•")))</f>
        <v/>
      </c>
      <c r="BJ23" s="20" t="str">
        <f aca="false">IF(COUNTIFS(Results!$F$2:$F$482,$A23,Results!$A$2:$A$482,BJ$4)=0,"",IF(COUNTIFS(Results!$F$2:$F$482,$A23,Results!$A$2:$A$482,BJ$4,Results!$G$2:$G$482,"&gt;0")&gt;0,_xlfn.MINIFS(Results!$G$2:$G$482,Results!$F$2:$F$482,$A23,Results!$A$2:$A$482,BJ$4,Results!$G$2:$G$482,"&gt;0"),IF(COUNTIFS(Results!$F$2:$F$482,$A23,Results!$A$2:$A$482,BJ$4,Results!$H$2:$H$482,"DNF")&gt;0,"DNF","•")))</f>
        <v/>
      </c>
      <c r="BK23" s="20" t="str">
        <f aca="false">IF(COUNTIFS(Results!$F$2:$F$482,$A23,Results!$A$2:$A$482,BK$4)=0,"",IF(COUNTIFS(Results!$F$2:$F$482,$A23,Results!$A$2:$A$482,BK$4,Results!$G$2:$G$482,"&gt;0")&gt;0,_xlfn.MINIFS(Results!$G$2:$G$482,Results!$F$2:$F$482,$A23,Results!$A$2:$A$482,BK$4,Results!$G$2:$G$482,"&gt;0"),IF(COUNTIFS(Results!$F$2:$F$482,$A23,Results!$A$2:$A$482,BK$4,Results!$H$2:$H$482,"DNF")&gt;0,"DNF","•")))</f>
        <v/>
      </c>
      <c r="BL23" s="20" t="str">
        <f aca="false">IF(COUNTIFS(Results!$F$2:$F$482,$A23,Results!$A$2:$A$482,BL$4)=0,"",IF(COUNTIFS(Results!$F$2:$F$482,$A23,Results!$A$2:$A$482,BL$4,Results!$G$2:$G$482,"&gt;0")&gt;0,_xlfn.MINIFS(Results!$G$2:$G$482,Results!$F$2:$F$482,$A23,Results!$A$2:$A$482,BL$4,Results!$G$2:$G$482,"&gt;0"),IF(COUNTIFS(Results!$F$2:$F$482,$A23,Results!$A$2:$A$482,BL$4,Results!$H$2:$H$482,"DNF")&gt;0,"DNF","•")))</f>
        <v/>
      </c>
    </row>
    <row r="24" customFormat="false" ht="15" hidden="false" customHeight="false" outlineLevel="0" collapsed="false">
      <c r="A24" s="7" t="str">
        <f aca="false">Riders!A22</f>
        <v>Agata Sekta</v>
      </c>
      <c r="B24" s="20" t="str">
        <f aca="false">IF(COUNTIFS(Results!$F$2:$F$482,$A24,Results!$A$2:$A$482,B$4)=0,"",IF(COUNTIFS(Results!$F$2:$F$482,$A24,Results!$A$2:$A$482,B$4,Results!$G$2:$G$482,"&gt;0")&gt;0,_xlfn.MINIFS(Results!$G$2:$G$482,Results!$F$2:$F$482,$A24,Results!$A$2:$A$482,B$4,Results!$G$2:$G$482,"&gt;0"),IF(COUNTIFS(Results!$F$2:$F$482,$A24,Results!$A$2:$A$482,B$4,Results!$H$2:$H$482,"DNF")&gt;0,"DNF","•")))</f>
        <v/>
      </c>
      <c r="C24" s="20" t="n">
        <f aca="false">IF(COUNTIFS(Results!$F$2:$F$482,$A24,Results!$A$2:$A$482,C$4)=0,"",IF(COUNTIFS(Results!$F$2:$F$482,$A24,Results!$A$2:$A$482,C$4,Results!$G$2:$G$482,"&gt;0")&gt;0,_xlfn.MINIFS(Results!$G$2:$G$482,Results!$F$2:$F$482,$A24,Results!$A$2:$A$482,C$4,Results!$G$2:$G$482,"&gt;0"),IF(COUNTIFS(Results!$F$2:$F$482,$A24,Results!$A$2:$A$482,C$4,Results!$H$2:$H$482,"DNF")&gt;0,"DNF","•")))</f>
        <v>5</v>
      </c>
      <c r="D24" s="20" t="str">
        <f aca="false">IF(COUNTIFS(Results!$F$2:$F$482,$A24,Results!$A$2:$A$482,D$4)=0,"",IF(COUNTIFS(Results!$F$2:$F$482,$A24,Results!$A$2:$A$482,D$4,Results!$G$2:$G$482,"&gt;0")&gt;0,_xlfn.MINIFS(Results!$G$2:$G$482,Results!$F$2:$F$482,$A24,Results!$A$2:$A$482,D$4,Results!$G$2:$G$482,"&gt;0"),IF(COUNTIFS(Results!$F$2:$F$482,$A24,Results!$A$2:$A$482,D$4,Results!$H$2:$H$482,"DNF")&gt;0,"DNF","•")))</f>
        <v/>
      </c>
      <c r="E24" s="20" t="str">
        <f aca="false">IF(COUNTIFS(Results!$F$2:$F$482,$A24,Results!$A$2:$A$482,E$4)=0,"",IF(COUNTIFS(Results!$F$2:$F$482,$A24,Results!$A$2:$A$482,E$4,Results!$G$2:$G$482,"&gt;0")&gt;0,_xlfn.MINIFS(Results!$G$2:$G$482,Results!$F$2:$F$482,$A24,Results!$A$2:$A$482,E$4,Results!$G$2:$G$482,"&gt;0"),IF(COUNTIFS(Results!$F$2:$F$482,$A24,Results!$A$2:$A$482,E$4,Results!$H$2:$H$482,"DNF")&gt;0,"DNF","•")))</f>
        <v/>
      </c>
      <c r="F24" s="20" t="str">
        <f aca="false">IF(COUNTIFS(Results!$F$2:$F$482,$A24,Results!$A$2:$A$482,F$4)=0,"",IF(COUNTIFS(Results!$F$2:$F$482,$A24,Results!$A$2:$A$482,F$4,Results!$G$2:$G$482,"&gt;0")&gt;0,_xlfn.MINIFS(Results!$G$2:$G$482,Results!$F$2:$F$482,$A24,Results!$A$2:$A$482,F$4,Results!$G$2:$G$482,"&gt;0"),IF(COUNTIFS(Results!$F$2:$F$482,$A24,Results!$A$2:$A$482,F$4,Results!$H$2:$H$482,"DNF")&gt;0,"DNF","•")))</f>
        <v/>
      </c>
      <c r="G24" s="20" t="str">
        <f aca="false">IF(COUNTIFS(Results!$F$2:$F$482,$A24,Results!$A$2:$A$482,G$4)=0,"",IF(COUNTIFS(Results!$F$2:$F$482,$A24,Results!$A$2:$A$482,G$4,Results!$G$2:$G$482,"&gt;0")&gt;0,_xlfn.MINIFS(Results!$G$2:$G$482,Results!$F$2:$F$482,$A24,Results!$A$2:$A$482,G$4,Results!$G$2:$G$482,"&gt;0"),IF(COUNTIFS(Results!$F$2:$F$482,$A24,Results!$A$2:$A$482,G$4,Results!$H$2:$H$482,"DNF")&gt;0,"DNF","•")))</f>
        <v/>
      </c>
      <c r="H24" s="20" t="n">
        <f aca="false">IF(COUNTIFS(Results!$F$2:$F$482,$A24,Results!$A$2:$A$482,H$4)=0,"",IF(COUNTIFS(Results!$F$2:$F$482,$A24,Results!$A$2:$A$482,H$4,Results!$G$2:$G$482,"&gt;0")&gt;0,_xlfn.MINIFS(Results!$G$2:$G$482,Results!$F$2:$F$482,$A24,Results!$A$2:$A$482,H$4,Results!$G$2:$G$482,"&gt;0"),IF(COUNTIFS(Results!$F$2:$F$482,$A24,Results!$A$2:$A$482,H$4,Results!$H$2:$H$482,"DNF")&gt;0,"DNF","•")))</f>
        <v>43</v>
      </c>
      <c r="I24" s="20" t="str">
        <f aca="false">IF(COUNTIFS(Results!$F$2:$F$482,$A24,Results!$A$2:$A$482,I$4)=0,"",IF(COUNTIFS(Results!$F$2:$F$482,$A24,Results!$A$2:$A$482,I$4,Results!$G$2:$G$482,"&gt;0")&gt;0,_xlfn.MINIFS(Results!$G$2:$G$482,Results!$F$2:$F$482,$A24,Results!$A$2:$A$482,I$4,Results!$G$2:$G$482,"&gt;0"),IF(COUNTIFS(Results!$F$2:$F$482,$A24,Results!$A$2:$A$482,I$4,Results!$H$2:$H$482,"DNF")&gt;0,"DNF","•")))</f>
        <v/>
      </c>
      <c r="J24" s="20" t="str">
        <f aca="false">IF(COUNTIFS(Results!$F$2:$F$482,$A24,Results!$A$2:$A$482,J$4)=0,"",IF(COUNTIFS(Results!$F$2:$F$482,$A24,Results!$A$2:$A$482,J$4,Results!$G$2:$G$482,"&gt;0")&gt;0,_xlfn.MINIFS(Results!$G$2:$G$482,Results!$F$2:$F$482,$A24,Results!$A$2:$A$482,J$4,Results!$G$2:$G$482,"&gt;0"),IF(COUNTIFS(Results!$F$2:$F$482,$A24,Results!$A$2:$A$482,J$4,Results!$H$2:$H$482,"DNF")&gt;0,"DNF","•")))</f>
        <v/>
      </c>
      <c r="K24" s="20" t="str">
        <f aca="false">IF(COUNTIFS(Results!$F$2:$F$482,$A24,Results!$A$2:$A$482,K$4)=0,"",IF(COUNTIFS(Results!$F$2:$F$482,$A24,Results!$A$2:$A$482,K$4,Results!$G$2:$G$482,"&gt;0")&gt;0,_xlfn.MINIFS(Results!$G$2:$G$482,Results!$F$2:$F$482,$A24,Results!$A$2:$A$482,K$4,Results!$G$2:$G$482,"&gt;0"),IF(COUNTIFS(Results!$F$2:$F$482,$A24,Results!$A$2:$A$482,K$4,Results!$H$2:$H$482,"DNF")&gt;0,"DNF","•")))</f>
        <v/>
      </c>
      <c r="L24" s="20" t="str">
        <f aca="false">IF(COUNTIFS(Results!$F$2:$F$482,$A24,Results!$A$2:$A$482,L$4)=0,"",IF(COUNTIFS(Results!$F$2:$F$482,$A24,Results!$A$2:$A$482,L$4,Results!$G$2:$G$482,"&gt;0")&gt;0,_xlfn.MINIFS(Results!$G$2:$G$482,Results!$F$2:$F$482,$A24,Results!$A$2:$A$482,L$4,Results!$G$2:$G$482,"&gt;0"),IF(COUNTIFS(Results!$F$2:$F$482,$A24,Results!$A$2:$A$482,L$4,Results!$H$2:$H$482,"DNF")&gt;0,"DNF","•")))</f>
        <v/>
      </c>
      <c r="M24" s="20" t="str">
        <f aca="false">IF(COUNTIFS(Results!$F$2:$F$482,$A24,Results!$A$2:$A$482,M$4)=0,"",IF(COUNTIFS(Results!$F$2:$F$482,$A24,Results!$A$2:$A$482,M$4,Results!$G$2:$G$482,"&gt;0")&gt;0,_xlfn.MINIFS(Results!$G$2:$G$482,Results!$F$2:$F$482,$A24,Results!$A$2:$A$482,M$4,Results!$G$2:$G$482,"&gt;0"),IF(COUNTIFS(Results!$F$2:$F$482,$A24,Results!$A$2:$A$482,M$4,Results!$H$2:$H$482,"DNF")&gt;0,"DNF","•")))</f>
        <v/>
      </c>
      <c r="N24" s="20" t="str">
        <f aca="false">IF(COUNTIFS(Results!$F$2:$F$482,$A24,Results!$A$2:$A$482,N$4)=0,"",IF(COUNTIFS(Results!$F$2:$F$482,$A24,Results!$A$2:$A$482,N$4,Results!$G$2:$G$482,"&gt;0")&gt;0,_xlfn.MINIFS(Results!$G$2:$G$482,Results!$F$2:$F$482,$A24,Results!$A$2:$A$482,N$4,Results!$G$2:$G$482,"&gt;0"),IF(COUNTIFS(Results!$F$2:$F$482,$A24,Results!$A$2:$A$482,N$4,Results!$H$2:$H$482,"DNF")&gt;0,"DNF","•")))</f>
        <v/>
      </c>
      <c r="O24" s="20" t="str">
        <f aca="false">IF(COUNTIFS(Results!$F$2:$F$482,$A24,Results!$A$2:$A$482,O$4)=0,"",IF(COUNTIFS(Results!$F$2:$F$482,$A24,Results!$A$2:$A$482,O$4,Results!$G$2:$G$482,"&gt;0")&gt;0,_xlfn.MINIFS(Results!$G$2:$G$482,Results!$F$2:$F$482,$A24,Results!$A$2:$A$482,O$4,Results!$G$2:$G$482,"&gt;0"),IF(COUNTIFS(Results!$F$2:$F$482,$A24,Results!$A$2:$A$482,O$4,Results!$H$2:$H$482,"DNF")&gt;0,"DNF","•")))</f>
        <v/>
      </c>
      <c r="P24" s="20" t="str">
        <f aca="false">IF(COUNTIFS(Results!$F$2:$F$482,$A24,Results!$A$2:$A$482,P$4)=0,"",IF(COUNTIFS(Results!$F$2:$F$482,$A24,Results!$A$2:$A$482,P$4,Results!$G$2:$G$482,"&gt;0")&gt;0,_xlfn.MINIFS(Results!$G$2:$G$482,Results!$F$2:$F$482,$A24,Results!$A$2:$A$482,P$4,Results!$G$2:$G$482,"&gt;0"),IF(COUNTIFS(Results!$F$2:$F$482,$A24,Results!$A$2:$A$482,P$4,Results!$H$2:$H$482,"DNF")&gt;0,"DNF","•")))</f>
        <v/>
      </c>
      <c r="Q24" s="20" t="str">
        <f aca="false">IF(COUNTIFS(Results!$F$2:$F$482,$A24,Results!$A$2:$A$482,Q$4)=0,"",IF(COUNTIFS(Results!$F$2:$F$482,$A24,Results!$A$2:$A$482,Q$4,Results!$G$2:$G$482,"&gt;0")&gt;0,_xlfn.MINIFS(Results!$G$2:$G$482,Results!$F$2:$F$482,$A24,Results!$A$2:$A$482,Q$4,Results!$G$2:$G$482,"&gt;0"),IF(COUNTIFS(Results!$F$2:$F$482,$A24,Results!$A$2:$A$482,Q$4,Results!$H$2:$H$482,"DNF")&gt;0,"DNF","•")))</f>
        <v/>
      </c>
      <c r="R24" s="20" t="n">
        <f aca="false">IF(COUNTIFS(Results!$F$2:$F$482,$A24,Results!$A$2:$A$482,R$4)=0,"",IF(COUNTIFS(Results!$F$2:$F$482,$A24,Results!$A$2:$A$482,R$4,Results!$G$2:$G$482,"&gt;0")&gt;0,_xlfn.MINIFS(Results!$G$2:$G$482,Results!$F$2:$F$482,$A24,Results!$A$2:$A$482,R$4,Results!$G$2:$G$482,"&gt;0"),IF(COUNTIFS(Results!$F$2:$F$482,$A24,Results!$A$2:$A$482,R$4,Results!$H$2:$H$482,"DNF")&gt;0,"DNF","•")))</f>
        <v>21</v>
      </c>
      <c r="S24" s="20" t="str">
        <f aca="false">IF(COUNTIFS(Results!$F$2:$F$482,$A24,Results!$A$2:$A$482,S$4)=0,"",IF(COUNTIFS(Results!$F$2:$F$482,$A24,Results!$A$2:$A$482,S$4,Results!$G$2:$G$482,"&gt;0")&gt;0,_xlfn.MINIFS(Results!$G$2:$G$482,Results!$F$2:$F$482,$A24,Results!$A$2:$A$482,S$4,Results!$G$2:$G$482,"&gt;0"),IF(COUNTIFS(Results!$F$2:$F$482,$A24,Results!$A$2:$A$482,S$4,Results!$H$2:$H$482,"DNF")&gt;0,"DNF","•")))</f>
        <v/>
      </c>
      <c r="T24" s="20" t="str">
        <f aca="false">IF(COUNTIFS(Results!$F$2:$F$482,$A24,Results!$A$2:$A$482,T$4)=0,"",IF(COUNTIFS(Results!$F$2:$F$482,$A24,Results!$A$2:$A$482,T$4,Results!$G$2:$G$482,"&gt;0")&gt;0,_xlfn.MINIFS(Results!$G$2:$G$482,Results!$F$2:$F$482,$A24,Results!$A$2:$A$482,T$4,Results!$G$2:$G$482,"&gt;0"),IF(COUNTIFS(Results!$F$2:$F$482,$A24,Results!$A$2:$A$482,T$4,Results!$H$2:$H$482,"DNF")&gt;0,"DNF","•")))</f>
        <v/>
      </c>
      <c r="U24" s="20" t="str">
        <f aca="false">IF(COUNTIFS(Results!$F$2:$F$482,$A24,Results!$A$2:$A$482,U$4)=0,"",IF(COUNTIFS(Results!$F$2:$F$482,$A24,Results!$A$2:$A$482,U$4,Results!$G$2:$G$482,"&gt;0")&gt;0,_xlfn.MINIFS(Results!$G$2:$G$482,Results!$F$2:$F$482,$A24,Results!$A$2:$A$482,U$4,Results!$G$2:$G$482,"&gt;0"),IF(COUNTIFS(Results!$F$2:$F$482,$A24,Results!$A$2:$A$482,U$4,Results!$H$2:$H$482,"DNF")&gt;0,"DNF","•")))</f>
        <v/>
      </c>
      <c r="V24" s="20" t="str">
        <f aca="false">IF(COUNTIFS(Results!$F$2:$F$482,$A24,Results!$A$2:$A$482,V$4)=0,"",IF(COUNTIFS(Results!$F$2:$F$482,$A24,Results!$A$2:$A$482,V$4,Results!$G$2:$G$482,"&gt;0")&gt;0,_xlfn.MINIFS(Results!$G$2:$G$482,Results!$F$2:$F$482,$A24,Results!$A$2:$A$482,V$4,Results!$G$2:$G$482,"&gt;0"),IF(COUNTIFS(Results!$F$2:$F$482,$A24,Results!$A$2:$A$482,V$4,Results!$H$2:$H$482,"DNF")&gt;0,"DNF","•")))</f>
        <v/>
      </c>
      <c r="W24" s="20" t="str">
        <f aca="false">IF(COUNTIFS(Results!$F$2:$F$482,$A24,Results!$A$2:$A$482,W$4)=0,"",IF(COUNTIFS(Results!$F$2:$F$482,$A24,Results!$A$2:$A$482,W$4,Results!$G$2:$G$482,"&gt;0")&gt;0,_xlfn.MINIFS(Results!$G$2:$G$482,Results!$F$2:$F$482,$A24,Results!$A$2:$A$482,W$4,Results!$G$2:$G$482,"&gt;0"),IF(COUNTIFS(Results!$F$2:$F$482,$A24,Results!$A$2:$A$482,W$4,Results!$H$2:$H$482,"DNF")&gt;0,"DNF","•")))</f>
        <v/>
      </c>
      <c r="X24" s="20" t="str">
        <f aca="false">IF(COUNTIFS(Results!$F$2:$F$482,$A24,Results!$A$2:$A$482,X$4)=0,"",IF(COUNTIFS(Results!$F$2:$F$482,$A24,Results!$A$2:$A$482,X$4,Results!$G$2:$G$482,"&gt;0")&gt;0,_xlfn.MINIFS(Results!$G$2:$G$482,Results!$F$2:$F$482,$A24,Results!$A$2:$A$482,X$4,Results!$G$2:$G$482,"&gt;0"),IF(COUNTIFS(Results!$F$2:$F$482,$A24,Results!$A$2:$A$482,X$4,Results!$H$2:$H$482,"DNF")&gt;0,"DNF","•")))</f>
        <v/>
      </c>
      <c r="Y24" s="20" t="str">
        <f aca="false">IF(COUNTIFS(Results!$F$2:$F$482,$A24,Results!$A$2:$A$482,Y$4)=0,"",IF(COUNTIFS(Results!$F$2:$F$482,$A24,Results!$A$2:$A$482,Y$4,Results!$G$2:$G$482,"&gt;0")&gt;0,_xlfn.MINIFS(Results!$G$2:$G$482,Results!$F$2:$F$482,$A24,Results!$A$2:$A$482,Y$4,Results!$G$2:$G$482,"&gt;0"),IF(COUNTIFS(Results!$F$2:$F$482,$A24,Results!$A$2:$A$482,Y$4,Results!$H$2:$H$482,"DNF")&gt;0,"DNF","•")))</f>
        <v/>
      </c>
      <c r="Z24" s="20" t="str">
        <f aca="false">IF(COUNTIFS(Results!$F$2:$F$482,$A24,Results!$A$2:$A$482,Z$4)=0,"",IF(COUNTIFS(Results!$F$2:$F$482,$A24,Results!$A$2:$A$482,Z$4,Results!$G$2:$G$482,"&gt;0")&gt;0,_xlfn.MINIFS(Results!$G$2:$G$482,Results!$F$2:$F$482,$A24,Results!$A$2:$A$482,Z$4,Results!$G$2:$G$482,"&gt;0"),IF(COUNTIFS(Results!$F$2:$F$482,$A24,Results!$A$2:$A$482,Z$4,Results!$H$2:$H$482,"DNF")&gt;0,"DNF","•")))</f>
        <v/>
      </c>
      <c r="AA24" s="20" t="str">
        <f aca="false">IF(COUNTIFS(Results!$F$2:$F$482,$A24,Results!$A$2:$A$482,AA$4)=0,"",IF(COUNTIFS(Results!$F$2:$F$482,$A24,Results!$A$2:$A$482,AA$4,Results!$G$2:$G$482,"&gt;0")&gt;0,_xlfn.MINIFS(Results!$G$2:$G$482,Results!$F$2:$F$482,$A24,Results!$A$2:$A$482,AA$4,Results!$G$2:$G$482,"&gt;0"),IF(COUNTIFS(Results!$F$2:$F$482,$A24,Results!$A$2:$A$482,AA$4,Results!$H$2:$H$482,"DNF")&gt;0,"DNF","•")))</f>
        <v/>
      </c>
      <c r="AB24" s="20" t="str">
        <f aca="false">IF(COUNTIFS(Results!$F$2:$F$482,$A24,Results!$A$2:$A$482,AB$4)=0,"",IF(COUNTIFS(Results!$F$2:$F$482,$A24,Results!$A$2:$A$482,AB$4,Results!$G$2:$G$482,"&gt;0")&gt;0,_xlfn.MINIFS(Results!$G$2:$G$482,Results!$F$2:$F$482,$A24,Results!$A$2:$A$482,AB$4,Results!$G$2:$G$482,"&gt;0"),IF(COUNTIFS(Results!$F$2:$F$482,$A24,Results!$A$2:$A$482,AB$4,Results!$H$2:$H$482,"DNF")&gt;0,"DNF","•")))</f>
        <v/>
      </c>
      <c r="AC24" s="20" t="str">
        <f aca="false">IF(COUNTIFS(Results!$F$2:$F$482,$A24,Results!$A$2:$A$482,AC$4)=0,"",IF(COUNTIFS(Results!$F$2:$F$482,$A24,Results!$A$2:$A$482,AC$4,Results!$G$2:$G$482,"&gt;0")&gt;0,_xlfn.MINIFS(Results!$G$2:$G$482,Results!$F$2:$F$482,$A24,Results!$A$2:$A$482,AC$4,Results!$G$2:$G$482,"&gt;0"),IF(COUNTIFS(Results!$F$2:$F$482,$A24,Results!$A$2:$A$482,AC$4,Results!$H$2:$H$482,"DNF")&gt;0,"DNF","•")))</f>
        <v/>
      </c>
      <c r="AD24" s="20" t="n">
        <f aca="false">IF(COUNTIFS(Results!$F$2:$F$482,$A24,Results!$A$2:$A$482,AD$4)=0,"",IF(COUNTIFS(Results!$F$2:$F$482,$A24,Results!$A$2:$A$482,AD$4,Results!$G$2:$G$482,"&gt;0")&gt;0,_xlfn.MINIFS(Results!$G$2:$G$482,Results!$F$2:$F$482,$A24,Results!$A$2:$A$482,AD$4,Results!$G$2:$G$482,"&gt;0"),IF(COUNTIFS(Results!$F$2:$F$482,$A24,Results!$A$2:$A$482,AD$4,Results!$H$2:$H$482,"DNF")&gt;0,"DNF","•")))</f>
        <v>1</v>
      </c>
      <c r="AE24" s="20" t="str">
        <f aca="false">IF(COUNTIFS(Results!$F$2:$F$482,$A24,Results!$A$2:$A$482,AE$4)=0,"",IF(COUNTIFS(Results!$F$2:$F$482,$A24,Results!$A$2:$A$482,AE$4,Results!$G$2:$G$482,"&gt;0")&gt;0,_xlfn.MINIFS(Results!$G$2:$G$482,Results!$F$2:$F$482,$A24,Results!$A$2:$A$482,AE$4,Results!$G$2:$G$482,"&gt;0"),IF(COUNTIFS(Results!$F$2:$F$482,$A24,Results!$A$2:$A$482,AE$4,Results!$H$2:$H$482,"DNF")&gt;0,"DNF","•")))</f>
        <v/>
      </c>
      <c r="AF24" s="20" t="str">
        <f aca="false">IF(COUNTIFS(Results!$F$2:$F$482,$A24,Results!$A$2:$A$482,AF$4)=0,"",IF(COUNTIFS(Results!$F$2:$F$482,$A24,Results!$A$2:$A$482,AF$4,Results!$G$2:$G$482,"&gt;0")&gt;0,_xlfn.MINIFS(Results!$G$2:$G$482,Results!$F$2:$F$482,$A24,Results!$A$2:$A$482,AF$4,Results!$G$2:$G$482,"&gt;0"),IF(COUNTIFS(Results!$F$2:$F$482,$A24,Results!$A$2:$A$482,AF$4,Results!$H$2:$H$482,"DNF")&gt;0,"DNF","•")))</f>
        <v/>
      </c>
      <c r="AG24" s="20" t="str">
        <f aca="false">IF(COUNTIFS(Results!$F$2:$F$482,$A24,Results!$A$2:$A$482,AG$4)=0,"",IF(COUNTIFS(Results!$F$2:$F$482,$A24,Results!$A$2:$A$482,AG$4,Results!$G$2:$G$482,"&gt;0")&gt;0,_xlfn.MINIFS(Results!$G$2:$G$482,Results!$F$2:$F$482,$A24,Results!$A$2:$A$482,AG$4,Results!$G$2:$G$482,"&gt;0"),IF(COUNTIFS(Results!$F$2:$F$482,$A24,Results!$A$2:$A$482,AG$4,Results!$H$2:$H$482,"DNF")&gt;0,"DNF","•")))</f>
        <v/>
      </c>
      <c r="AH24" s="20" t="str">
        <f aca="false">IF(COUNTIFS(Results!$F$2:$F$482,$A24,Results!$A$2:$A$482,AH$4)=0,"",IF(COUNTIFS(Results!$F$2:$F$482,$A24,Results!$A$2:$A$482,AH$4,Results!$G$2:$G$482,"&gt;0")&gt;0,_xlfn.MINIFS(Results!$G$2:$G$482,Results!$F$2:$F$482,$A24,Results!$A$2:$A$482,AH$4,Results!$G$2:$G$482,"&gt;0"),IF(COUNTIFS(Results!$F$2:$F$482,$A24,Results!$A$2:$A$482,AH$4,Results!$H$2:$H$482,"DNF")&gt;0,"DNF","•")))</f>
        <v/>
      </c>
      <c r="AI24" s="20" t="str">
        <f aca="false">IF(COUNTIFS(Results!$F$2:$F$482,$A24,Results!$A$2:$A$482,AI$4)=0,"",IF(COUNTIFS(Results!$F$2:$F$482,$A24,Results!$A$2:$A$482,AI$4,Results!$G$2:$G$482,"&gt;0")&gt;0,_xlfn.MINIFS(Results!$G$2:$G$482,Results!$F$2:$F$482,$A24,Results!$A$2:$A$482,AI$4,Results!$G$2:$G$482,"&gt;0"),IF(COUNTIFS(Results!$F$2:$F$482,$A24,Results!$A$2:$A$482,AI$4,Results!$H$2:$H$482,"DNF")&gt;0,"DNF","•")))</f>
        <v/>
      </c>
      <c r="AJ24" s="20" t="n">
        <f aca="false">IF(COUNTIFS(Results!$F$2:$F$482,$A24,Results!$A$2:$A$482,AJ$4)=0,"",IF(COUNTIFS(Results!$F$2:$F$482,$A24,Results!$A$2:$A$482,AJ$4,Results!$G$2:$G$482,"&gt;0")&gt;0,_xlfn.MINIFS(Results!$G$2:$G$482,Results!$F$2:$F$482,$A24,Results!$A$2:$A$482,AJ$4,Results!$G$2:$G$482,"&gt;0"),IF(COUNTIFS(Results!$F$2:$F$482,$A24,Results!$A$2:$A$482,AJ$4,Results!$H$2:$H$482,"DNF")&gt;0,"DNF","•")))</f>
        <v>3</v>
      </c>
      <c r="AK24" s="20" t="str">
        <f aca="false">IF(COUNTIFS(Results!$F$2:$F$482,$A24,Results!$A$2:$A$482,AK$4)=0,"",IF(COUNTIFS(Results!$F$2:$F$482,$A24,Results!$A$2:$A$482,AK$4,Results!$G$2:$G$482,"&gt;0")&gt;0,_xlfn.MINIFS(Results!$G$2:$G$482,Results!$F$2:$F$482,$A24,Results!$A$2:$A$482,AK$4,Results!$G$2:$G$482,"&gt;0"),IF(COUNTIFS(Results!$F$2:$F$482,$A24,Results!$A$2:$A$482,AK$4,Results!$H$2:$H$482,"DNF")&gt;0,"DNF","•")))</f>
        <v/>
      </c>
      <c r="AL24" s="20" t="str">
        <f aca="false">IF(COUNTIFS(Results!$F$2:$F$482,$A24,Results!$A$2:$A$482,AL$4)=0,"",IF(COUNTIFS(Results!$F$2:$F$482,$A24,Results!$A$2:$A$482,AL$4,Results!$G$2:$G$482,"&gt;0")&gt;0,_xlfn.MINIFS(Results!$G$2:$G$482,Results!$F$2:$F$482,$A24,Results!$A$2:$A$482,AL$4,Results!$G$2:$G$482,"&gt;0"),IF(COUNTIFS(Results!$F$2:$F$482,$A24,Results!$A$2:$A$482,AL$4,Results!$H$2:$H$482,"DNF")&gt;0,"DNF","•")))</f>
        <v/>
      </c>
      <c r="AM24" s="20" t="str">
        <f aca="false">IF(COUNTIFS(Results!$F$2:$F$482,$A24,Results!$A$2:$A$482,AM$4)=0,"",IF(COUNTIFS(Results!$F$2:$F$482,$A24,Results!$A$2:$A$482,AM$4,Results!$G$2:$G$482,"&gt;0")&gt;0,_xlfn.MINIFS(Results!$G$2:$G$482,Results!$F$2:$F$482,$A24,Results!$A$2:$A$482,AM$4,Results!$G$2:$G$482,"&gt;0"),IF(COUNTIFS(Results!$F$2:$F$482,$A24,Results!$A$2:$A$482,AM$4,Results!$H$2:$H$482,"DNF")&gt;0,"DNF","•")))</f>
        <v/>
      </c>
      <c r="AN24" s="20" t="str">
        <f aca="false">IF(COUNTIFS(Results!$F$2:$F$482,$A24,Results!$A$2:$A$482,AN$4)=0,"",IF(COUNTIFS(Results!$F$2:$F$482,$A24,Results!$A$2:$A$482,AN$4,Results!$G$2:$G$482,"&gt;0")&gt;0,_xlfn.MINIFS(Results!$G$2:$G$482,Results!$F$2:$F$482,$A24,Results!$A$2:$A$482,AN$4,Results!$G$2:$G$482,"&gt;0"),IF(COUNTIFS(Results!$F$2:$F$482,$A24,Results!$A$2:$A$482,AN$4,Results!$H$2:$H$482,"DNF")&gt;0,"DNF","•")))</f>
        <v/>
      </c>
      <c r="AO24" s="20" t="str">
        <f aca="false">IF(COUNTIFS(Results!$F$2:$F$482,$A24,Results!$A$2:$A$482,AO$4)=0,"",IF(COUNTIFS(Results!$F$2:$F$482,$A24,Results!$A$2:$A$482,AO$4,Results!$G$2:$G$482,"&gt;0")&gt;0,_xlfn.MINIFS(Results!$G$2:$G$482,Results!$F$2:$F$482,$A24,Results!$A$2:$A$482,AO$4,Results!$G$2:$G$482,"&gt;0"),IF(COUNTIFS(Results!$F$2:$F$482,$A24,Results!$A$2:$A$482,AO$4,Results!$H$2:$H$482,"DNF")&gt;0,"DNF","•")))</f>
        <v/>
      </c>
      <c r="AP24" s="20" t="str">
        <f aca="false">IF(COUNTIFS(Results!$F$2:$F$482,$A24,Results!$A$2:$A$482,AP$4)=0,"",IF(COUNTIFS(Results!$F$2:$F$482,$A24,Results!$A$2:$A$482,AP$4,Results!$G$2:$G$482,"&gt;0")&gt;0,_xlfn.MINIFS(Results!$G$2:$G$482,Results!$F$2:$F$482,$A24,Results!$A$2:$A$482,AP$4,Results!$G$2:$G$482,"&gt;0"),IF(COUNTIFS(Results!$F$2:$F$482,$A24,Results!$A$2:$A$482,AP$4,Results!$H$2:$H$482,"DNF")&gt;0,"DNF","•")))</f>
        <v/>
      </c>
      <c r="AQ24" s="20" t="str">
        <f aca="false">IF(COUNTIFS(Results!$F$2:$F$482,$A24,Results!$A$2:$A$482,AQ$4)=0,"",IF(COUNTIFS(Results!$F$2:$F$482,$A24,Results!$A$2:$A$482,AQ$4,Results!$G$2:$G$482,"&gt;0")&gt;0,_xlfn.MINIFS(Results!$G$2:$G$482,Results!$F$2:$F$482,$A24,Results!$A$2:$A$482,AQ$4,Results!$G$2:$G$482,"&gt;0"),IF(COUNTIFS(Results!$F$2:$F$482,$A24,Results!$A$2:$A$482,AQ$4,Results!$H$2:$H$482,"DNF")&gt;0,"DNF","•")))</f>
        <v/>
      </c>
      <c r="AR24" s="20" t="n">
        <f aca="false">IF(COUNTIFS(Results!$F$2:$F$482,$A24,Results!$A$2:$A$482,AR$4)=0,"",IF(COUNTIFS(Results!$F$2:$F$482,$A24,Results!$A$2:$A$482,AR$4,Results!$G$2:$G$482,"&gt;0")&gt;0,_xlfn.MINIFS(Results!$G$2:$G$482,Results!$F$2:$F$482,$A24,Results!$A$2:$A$482,AR$4,Results!$G$2:$G$482,"&gt;0"),IF(COUNTIFS(Results!$F$2:$F$482,$A24,Results!$A$2:$A$482,AR$4,Results!$H$2:$H$482,"DNF")&gt;0,"DNF","•")))</f>
        <v>40</v>
      </c>
      <c r="AS24" s="20" t="n">
        <f aca="false">IF(COUNTIFS(Results!$F$2:$F$482,$A24,Results!$A$2:$A$482,AS$4)=0,"",IF(COUNTIFS(Results!$F$2:$F$482,$A24,Results!$A$2:$A$482,AS$4,Results!$G$2:$G$482,"&gt;0")&gt;0,_xlfn.MINIFS(Results!$G$2:$G$482,Results!$F$2:$F$482,$A24,Results!$A$2:$A$482,AS$4,Results!$G$2:$G$482,"&gt;0"),IF(COUNTIFS(Results!$F$2:$F$482,$A24,Results!$A$2:$A$482,AS$4,Results!$H$2:$H$482,"DNF")&gt;0,"DNF","•")))</f>
        <v>1</v>
      </c>
      <c r="AT24" s="20" t="n">
        <f aca="false">IF(COUNTIFS(Results!$F$2:$F$482,$A24,Results!$A$2:$A$482,AT$4)=0,"",IF(COUNTIFS(Results!$F$2:$F$482,$A24,Results!$A$2:$A$482,AT$4,Results!$G$2:$G$482,"&gt;0")&gt;0,_xlfn.MINIFS(Results!$G$2:$G$482,Results!$F$2:$F$482,$A24,Results!$A$2:$A$482,AT$4,Results!$G$2:$G$482,"&gt;0"),IF(COUNTIFS(Results!$F$2:$F$482,$A24,Results!$A$2:$A$482,AT$4,Results!$H$2:$H$482,"DNF")&gt;0,"DNF","•")))</f>
        <v>1</v>
      </c>
      <c r="AU24" s="20" t="str">
        <f aca="false">IF(COUNTIFS(Results!$F$2:$F$482,$A24,Results!$A$2:$A$482,AU$4)=0,"",IF(COUNTIFS(Results!$F$2:$F$482,$A24,Results!$A$2:$A$482,AU$4,Results!$G$2:$G$482,"&gt;0")&gt;0,_xlfn.MINIFS(Results!$G$2:$G$482,Results!$F$2:$F$482,$A24,Results!$A$2:$A$482,AU$4,Results!$G$2:$G$482,"&gt;0"),IF(COUNTIFS(Results!$F$2:$F$482,$A24,Results!$A$2:$A$482,AU$4,Results!$H$2:$H$482,"DNF")&gt;0,"DNF","•")))</f>
        <v/>
      </c>
      <c r="AV24" s="20" t="str">
        <f aca="false">IF(COUNTIFS(Results!$F$2:$F$482,$A24,Results!$A$2:$A$482,AV$4)=0,"",IF(COUNTIFS(Results!$F$2:$F$482,$A24,Results!$A$2:$A$482,AV$4,Results!$G$2:$G$482,"&gt;0")&gt;0,_xlfn.MINIFS(Results!$G$2:$G$482,Results!$F$2:$F$482,$A24,Results!$A$2:$A$482,AV$4,Results!$G$2:$G$482,"&gt;0"),IF(COUNTIFS(Results!$F$2:$F$482,$A24,Results!$A$2:$A$482,AV$4,Results!$H$2:$H$482,"DNF")&gt;0,"DNF","•")))</f>
        <v/>
      </c>
      <c r="AW24" s="20" t="str">
        <f aca="false">IF(COUNTIFS(Results!$F$2:$F$482,$A24,Results!$A$2:$A$482,AW$4)=0,"",IF(COUNTIFS(Results!$F$2:$F$482,$A24,Results!$A$2:$A$482,AW$4,Results!$G$2:$G$482,"&gt;0")&gt;0,_xlfn.MINIFS(Results!$G$2:$G$482,Results!$F$2:$F$482,$A24,Results!$A$2:$A$482,AW$4,Results!$G$2:$G$482,"&gt;0"),IF(COUNTIFS(Results!$F$2:$F$482,$A24,Results!$A$2:$A$482,AW$4,Results!$H$2:$H$482,"DNF")&gt;0,"DNF","•")))</f>
        <v/>
      </c>
      <c r="AX24" s="20" t="str">
        <f aca="false">IF(COUNTIFS(Results!$F$2:$F$482,$A24,Results!$A$2:$A$482,AX$4)=0,"",IF(COUNTIFS(Results!$F$2:$F$482,$A24,Results!$A$2:$A$482,AX$4,Results!$G$2:$G$482,"&gt;0")&gt;0,_xlfn.MINIFS(Results!$G$2:$G$482,Results!$F$2:$F$482,$A24,Results!$A$2:$A$482,AX$4,Results!$G$2:$G$482,"&gt;0"),IF(COUNTIFS(Results!$F$2:$F$482,$A24,Results!$A$2:$A$482,AX$4,Results!$H$2:$H$482,"DNF")&gt;0,"DNF","•")))</f>
        <v/>
      </c>
      <c r="AY24" s="20" t="str">
        <f aca="false">IF(COUNTIFS(Results!$F$2:$F$482,$A24,Results!$A$2:$A$482,AY$4)=0,"",IF(COUNTIFS(Results!$F$2:$F$482,$A24,Results!$A$2:$A$482,AY$4,Results!$G$2:$G$482,"&gt;0")&gt;0,_xlfn.MINIFS(Results!$G$2:$G$482,Results!$F$2:$F$482,$A24,Results!$A$2:$A$482,AY$4,Results!$G$2:$G$482,"&gt;0"),IF(COUNTIFS(Results!$F$2:$F$482,$A24,Results!$A$2:$A$482,AY$4,Results!$H$2:$H$482,"DNF")&gt;0,"DNF","•")))</f>
        <v/>
      </c>
      <c r="AZ24" s="20" t="str">
        <f aca="false">IF(COUNTIFS(Results!$F$2:$F$482,$A24,Results!$A$2:$A$482,AZ$4)=0,"",IF(COUNTIFS(Results!$F$2:$F$482,$A24,Results!$A$2:$A$482,AZ$4,Results!$G$2:$G$482,"&gt;0")&gt;0,_xlfn.MINIFS(Results!$G$2:$G$482,Results!$F$2:$F$482,$A24,Results!$A$2:$A$482,AZ$4,Results!$G$2:$G$482,"&gt;0"),IF(COUNTIFS(Results!$F$2:$F$482,$A24,Results!$A$2:$A$482,AZ$4,Results!$H$2:$H$482,"DNF")&gt;0,"DNF","•")))</f>
        <v/>
      </c>
      <c r="BA24" s="20" t="n">
        <f aca="false">IF(COUNTIFS(Results!$F$2:$F$482,$A24,Results!$A$2:$A$482,BA$4)=0,"",IF(COUNTIFS(Results!$F$2:$F$482,$A24,Results!$A$2:$A$482,BA$4,Results!$G$2:$G$482,"&gt;0")&gt;0,_xlfn.MINIFS(Results!$G$2:$G$482,Results!$F$2:$F$482,$A24,Results!$A$2:$A$482,BA$4,Results!$G$2:$G$482,"&gt;0"),IF(COUNTIFS(Results!$F$2:$F$482,$A24,Results!$A$2:$A$482,BA$4,Results!$H$2:$H$482,"DNF")&gt;0,"DNF","•")))</f>
        <v>17</v>
      </c>
      <c r="BB24" s="20" t="str">
        <f aca="false">IF(COUNTIFS(Results!$F$2:$F$482,$A24,Results!$A$2:$A$482,BB$4)=0,"",IF(COUNTIFS(Results!$F$2:$F$482,$A24,Results!$A$2:$A$482,BB$4,Results!$G$2:$G$482,"&gt;0")&gt;0,_xlfn.MINIFS(Results!$G$2:$G$482,Results!$F$2:$F$482,$A24,Results!$A$2:$A$482,BB$4,Results!$G$2:$G$482,"&gt;0"),IF(COUNTIFS(Results!$F$2:$F$482,$A24,Results!$A$2:$A$482,BB$4,Results!$H$2:$H$482,"DNF")&gt;0,"DNF","•")))</f>
        <v/>
      </c>
      <c r="BC24" s="20" t="n">
        <f aca="false">IF(COUNTIFS(Results!$F$2:$F$482,$A24,Results!$A$2:$A$482,BC$4)=0,"",IF(COUNTIFS(Results!$F$2:$F$482,$A24,Results!$A$2:$A$482,BC$4,Results!$G$2:$G$482,"&gt;0")&gt;0,_xlfn.MINIFS(Results!$G$2:$G$482,Results!$F$2:$F$482,$A24,Results!$A$2:$A$482,BC$4,Results!$G$2:$G$482,"&gt;0"),IF(COUNTIFS(Results!$F$2:$F$482,$A24,Results!$A$2:$A$482,BC$4,Results!$H$2:$H$482,"DNF")&gt;0,"DNF","•")))</f>
        <v>2</v>
      </c>
      <c r="BD24" s="20" t="n">
        <f aca="false">IF(COUNTIFS(Results!$F$2:$F$482,$A24,Results!$A$2:$A$482,BD$4)=0,"",IF(COUNTIFS(Results!$F$2:$F$482,$A24,Results!$A$2:$A$482,BD$4,Results!$G$2:$G$482,"&gt;0")&gt;0,_xlfn.MINIFS(Results!$G$2:$G$482,Results!$F$2:$F$482,$A24,Results!$A$2:$A$482,BD$4,Results!$G$2:$G$482,"&gt;0"),IF(COUNTIFS(Results!$F$2:$F$482,$A24,Results!$A$2:$A$482,BD$4,Results!$H$2:$H$482,"DNF")&gt;0,"DNF","•")))</f>
        <v>2</v>
      </c>
      <c r="BE24" s="20" t="n">
        <f aca="false">IF(COUNTIFS(Results!$F$2:$F$482,$A24,Results!$A$2:$A$482,BE$4)=0,"",IF(COUNTIFS(Results!$F$2:$F$482,$A24,Results!$A$2:$A$482,BE$4,Results!$G$2:$G$482,"&gt;0")&gt;0,_xlfn.MINIFS(Results!$G$2:$G$482,Results!$F$2:$F$482,$A24,Results!$A$2:$A$482,BE$4,Results!$G$2:$G$482,"&gt;0"),IF(COUNTIFS(Results!$F$2:$F$482,$A24,Results!$A$2:$A$482,BE$4,Results!$H$2:$H$482,"DNF")&gt;0,"DNF","•")))</f>
        <v>1</v>
      </c>
      <c r="BF24" s="20" t="str">
        <f aca="false">IF(COUNTIFS(Results!$F$2:$F$482,$A24,Results!$A$2:$A$482,BF$4)=0,"",IF(COUNTIFS(Results!$F$2:$F$482,$A24,Results!$A$2:$A$482,BF$4,Results!$G$2:$G$482,"&gt;0")&gt;0,_xlfn.MINIFS(Results!$G$2:$G$482,Results!$F$2:$F$482,$A24,Results!$A$2:$A$482,BF$4,Results!$G$2:$G$482,"&gt;0"),IF(COUNTIFS(Results!$F$2:$F$482,$A24,Results!$A$2:$A$482,BF$4,Results!$H$2:$H$482,"DNF")&gt;0,"DNF","•")))</f>
        <v/>
      </c>
      <c r="BG24" s="20" t="n">
        <f aca="false">IF(COUNTIFS(Results!$F$2:$F$482,$A24,Results!$A$2:$A$482,BG$4)=0,"",IF(COUNTIFS(Results!$F$2:$F$482,$A24,Results!$A$2:$A$482,BG$4,Results!$G$2:$G$482,"&gt;0")&gt;0,_xlfn.MINIFS(Results!$G$2:$G$482,Results!$F$2:$F$482,$A24,Results!$A$2:$A$482,BG$4,Results!$G$2:$G$482,"&gt;0"),IF(COUNTIFS(Results!$F$2:$F$482,$A24,Results!$A$2:$A$482,BG$4,Results!$H$2:$H$482,"DNF")&gt;0,"DNF","•")))</f>
        <v>1</v>
      </c>
      <c r="BH24" s="20" t="n">
        <f aca="false">IF(COUNTIFS(Results!$F$2:$F$482,$A24,Results!$A$2:$A$482,BH$4)=0,"",IF(COUNTIFS(Results!$F$2:$F$482,$A24,Results!$A$2:$A$482,BH$4,Results!$G$2:$G$482,"&gt;0")&gt;0,_xlfn.MINIFS(Results!$G$2:$G$482,Results!$F$2:$F$482,$A24,Results!$A$2:$A$482,BH$4,Results!$G$2:$G$482,"&gt;0"),IF(COUNTIFS(Results!$F$2:$F$482,$A24,Results!$A$2:$A$482,BH$4,Results!$H$2:$H$482,"DNF")&gt;0,"DNF","•")))</f>
        <v>41</v>
      </c>
      <c r="BI24" s="20" t="str">
        <f aca="false">IF(COUNTIFS(Results!$F$2:$F$482,$A24,Results!$A$2:$A$482,BI$4)=0,"",IF(COUNTIFS(Results!$F$2:$F$482,$A24,Results!$A$2:$A$482,BI$4,Results!$G$2:$G$482,"&gt;0")&gt;0,_xlfn.MINIFS(Results!$G$2:$G$482,Results!$F$2:$F$482,$A24,Results!$A$2:$A$482,BI$4,Results!$G$2:$G$482,"&gt;0"),IF(COUNTIFS(Results!$F$2:$F$482,$A24,Results!$A$2:$A$482,BI$4,Results!$H$2:$H$482,"DNF")&gt;0,"DNF","•")))</f>
        <v/>
      </c>
      <c r="BJ24" s="20" t="str">
        <f aca="false">IF(COUNTIFS(Results!$F$2:$F$482,$A24,Results!$A$2:$A$482,BJ$4)=0,"",IF(COUNTIFS(Results!$F$2:$F$482,$A24,Results!$A$2:$A$482,BJ$4,Results!$G$2:$G$482,"&gt;0")&gt;0,_xlfn.MINIFS(Results!$G$2:$G$482,Results!$F$2:$F$482,$A24,Results!$A$2:$A$482,BJ$4,Results!$G$2:$G$482,"&gt;0"),IF(COUNTIFS(Results!$F$2:$F$482,$A24,Results!$A$2:$A$482,BJ$4,Results!$H$2:$H$482,"DNF")&gt;0,"DNF","•")))</f>
        <v/>
      </c>
      <c r="BK24" s="20" t="str">
        <f aca="false">IF(COUNTIFS(Results!$F$2:$F$482,$A24,Results!$A$2:$A$482,BK$4)=0,"",IF(COUNTIFS(Results!$F$2:$F$482,$A24,Results!$A$2:$A$482,BK$4,Results!$G$2:$G$482,"&gt;0")&gt;0,_xlfn.MINIFS(Results!$G$2:$G$482,Results!$F$2:$F$482,$A24,Results!$A$2:$A$482,BK$4,Results!$G$2:$G$482,"&gt;0"),IF(COUNTIFS(Results!$F$2:$F$482,$A24,Results!$A$2:$A$482,BK$4,Results!$H$2:$H$482,"DNF")&gt;0,"DNF","•")))</f>
        <v/>
      </c>
      <c r="BL24" s="20" t="str">
        <f aca="false">IF(COUNTIFS(Results!$F$2:$F$482,$A24,Results!$A$2:$A$482,BL$4)=0,"",IF(COUNTIFS(Results!$F$2:$F$482,$A24,Results!$A$2:$A$482,BL$4,Results!$G$2:$G$482,"&gt;0")&gt;0,_xlfn.MINIFS(Results!$G$2:$G$482,Results!$F$2:$F$482,$A24,Results!$A$2:$A$482,BL$4,Results!$G$2:$G$482,"&gt;0"),IF(COUNTIFS(Results!$F$2:$F$482,$A24,Results!$A$2:$A$482,BL$4,Results!$H$2:$H$482,"DNF")&gt;0,"DNF","•")))</f>
        <v/>
      </c>
    </row>
    <row r="25" customFormat="false" ht="15" hidden="false" customHeight="false" outlineLevel="0" collapsed="false">
      <c r="A25" s="7" t="str">
        <f aca="false">Riders!A23</f>
        <v>Zofia Glinka</v>
      </c>
      <c r="B25" s="20" t="str">
        <f aca="false">IF(COUNTIFS(Results!$F$2:$F$482,$A25,Results!$A$2:$A$482,B$4)=0,"",IF(COUNTIFS(Results!$F$2:$F$482,$A25,Results!$A$2:$A$482,B$4,Results!$G$2:$G$482,"&gt;0")&gt;0,_xlfn.MINIFS(Results!$G$2:$G$482,Results!$F$2:$F$482,$A25,Results!$A$2:$A$482,B$4,Results!$G$2:$G$482,"&gt;0"),IF(COUNTIFS(Results!$F$2:$F$482,$A25,Results!$A$2:$A$482,B$4,Results!$H$2:$H$482,"DNF")&gt;0,"DNF","•")))</f>
        <v/>
      </c>
      <c r="C25" s="20" t="str">
        <f aca="false">IF(COUNTIFS(Results!$F$2:$F$482,$A25,Results!$A$2:$A$482,C$4)=0,"",IF(COUNTIFS(Results!$F$2:$F$482,$A25,Results!$A$2:$A$482,C$4,Results!$G$2:$G$482,"&gt;0")&gt;0,_xlfn.MINIFS(Results!$G$2:$G$482,Results!$F$2:$F$482,$A25,Results!$A$2:$A$482,C$4,Results!$G$2:$G$482,"&gt;0"),IF(COUNTIFS(Results!$F$2:$F$482,$A25,Results!$A$2:$A$482,C$4,Results!$H$2:$H$482,"DNF")&gt;0,"DNF","•")))</f>
        <v/>
      </c>
      <c r="D25" s="20" t="str">
        <f aca="false">IF(COUNTIFS(Results!$F$2:$F$482,$A25,Results!$A$2:$A$482,D$4)=0,"",IF(COUNTIFS(Results!$F$2:$F$482,$A25,Results!$A$2:$A$482,D$4,Results!$G$2:$G$482,"&gt;0")&gt;0,_xlfn.MINIFS(Results!$G$2:$G$482,Results!$F$2:$F$482,$A25,Results!$A$2:$A$482,D$4,Results!$G$2:$G$482,"&gt;0"),IF(COUNTIFS(Results!$F$2:$F$482,$A25,Results!$A$2:$A$482,D$4,Results!$H$2:$H$482,"DNF")&gt;0,"DNF","•")))</f>
        <v/>
      </c>
      <c r="E25" s="20" t="str">
        <f aca="false">IF(COUNTIFS(Results!$F$2:$F$482,$A25,Results!$A$2:$A$482,E$4)=0,"",IF(COUNTIFS(Results!$F$2:$F$482,$A25,Results!$A$2:$A$482,E$4,Results!$G$2:$G$482,"&gt;0")&gt;0,_xlfn.MINIFS(Results!$G$2:$G$482,Results!$F$2:$F$482,$A25,Results!$A$2:$A$482,E$4,Results!$G$2:$G$482,"&gt;0"),IF(COUNTIFS(Results!$F$2:$F$482,$A25,Results!$A$2:$A$482,E$4,Results!$H$2:$H$482,"DNF")&gt;0,"DNF","•")))</f>
        <v/>
      </c>
      <c r="F25" s="20" t="str">
        <f aca="false">IF(COUNTIFS(Results!$F$2:$F$482,$A25,Results!$A$2:$A$482,F$4)=0,"",IF(COUNTIFS(Results!$F$2:$F$482,$A25,Results!$A$2:$A$482,F$4,Results!$G$2:$G$482,"&gt;0")&gt;0,_xlfn.MINIFS(Results!$G$2:$G$482,Results!$F$2:$F$482,$A25,Results!$A$2:$A$482,F$4,Results!$G$2:$G$482,"&gt;0"),IF(COUNTIFS(Results!$F$2:$F$482,$A25,Results!$A$2:$A$482,F$4,Results!$H$2:$H$482,"DNF")&gt;0,"DNF","•")))</f>
        <v/>
      </c>
      <c r="G25" s="20" t="str">
        <f aca="false">IF(COUNTIFS(Results!$F$2:$F$482,$A25,Results!$A$2:$A$482,G$4)=0,"",IF(COUNTIFS(Results!$F$2:$F$482,$A25,Results!$A$2:$A$482,G$4,Results!$G$2:$G$482,"&gt;0")&gt;0,_xlfn.MINIFS(Results!$G$2:$G$482,Results!$F$2:$F$482,$A25,Results!$A$2:$A$482,G$4,Results!$G$2:$G$482,"&gt;0"),IF(COUNTIFS(Results!$F$2:$F$482,$A25,Results!$A$2:$A$482,G$4,Results!$H$2:$H$482,"DNF")&gt;0,"DNF","•")))</f>
        <v/>
      </c>
      <c r="H25" s="20" t="str">
        <f aca="false">IF(COUNTIFS(Results!$F$2:$F$482,$A25,Results!$A$2:$A$482,H$4)=0,"",IF(COUNTIFS(Results!$F$2:$F$482,$A25,Results!$A$2:$A$482,H$4,Results!$G$2:$G$482,"&gt;0")&gt;0,_xlfn.MINIFS(Results!$G$2:$G$482,Results!$F$2:$F$482,$A25,Results!$A$2:$A$482,H$4,Results!$G$2:$G$482,"&gt;0"),IF(COUNTIFS(Results!$F$2:$F$482,$A25,Results!$A$2:$A$482,H$4,Results!$H$2:$H$482,"DNF")&gt;0,"DNF","•")))</f>
        <v/>
      </c>
      <c r="I25" s="20" t="str">
        <f aca="false">IF(COUNTIFS(Results!$F$2:$F$482,$A25,Results!$A$2:$A$482,I$4)=0,"",IF(COUNTIFS(Results!$F$2:$F$482,$A25,Results!$A$2:$A$482,I$4,Results!$G$2:$G$482,"&gt;0")&gt;0,_xlfn.MINIFS(Results!$G$2:$G$482,Results!$F$2:$F$482,$A25,Results!$A$2:$A$482,I$4,Results!$G$2:$G$482,"&gt;0"),IF(COUNTIFS(Results!$F$2:$F$482,$A25,Results!$A$2:$A$482,I$4,Results!$H$2:$H$482,"DNF")&gt;0,"DNF","•")))</f>
        <v/>
      </c>
      <c r="J25" s="20" t="str">
        <f aca="false">IF(COUNTIFS(Results!$F$2:$F$482,$A25,Results!$A$2:$A$482,J$4)=0,"",IF(COUNTIFS(Results!$F$2:$F$482,$A25,Results!$A$2:$A$482,J$4,Results!$G$2:$G$482,"&gt;0")&gt;0,_xlfn.MINIFS(Results!$G$2:$G$482,Results!$F$2:$F$482,$A25,Results!$A$2:$A$482,J$4,Results!$G$2:$G$482,"&gt;0"),IF(COUNTIFS(Results!$F$2:$F$482,$A25,Results!$A$2:$A$482,J$4,Results!$H$2:$H$482,"DNF")&gt;0,"DNF","•")))</f>
        <v/>
      </c>
      <c r="K25" s="20" t="str">
        <f aca="false">IF(COUNTIFS(Results!$F$2:$F$482,$A25,Results!$A$2:$A$482,K$4)=0,"",IF(COUNTIFS(Results!$F$2:$F$482,$A25,Results!$A$2:$A$482,K$4,Results!$G$2:$G$482,"&gt;0")&gt;0,_xlfn.MINIFS(Results!$G$2:$G$482,Results!$F$2:$F$482,$A25,Results!$A$2:$A$482,K$4,Results!$G$2:$G$482,"&gt;0"),IF(COUNTIFS(Results!$F$2:$F$482,$A25,Results!$A$2:$A$482,K$4,Results!$H$2:$H$482,"DNF")&gt;0,"DNF","•")))</f>
        <v/>
      </c>
      <c r="L25" s="20" t="str">
        <f aca="false">IF(COUNTIFS(Results!$F$2:$F$482,$A25,Results!$A$2:$A$482,L$4)=0,"",IF(COUNTIFS(Results!$F$2:$F$482,$A25,Results!$A$2:$A$482,L$4,Results!$G$2:$G$482,"&gt;0")&gt;0,_xlfn.MINIFS(Results!$G$2:$G$482,Results!$F$2:$F$482,$A25,Results!$A$2:$A$482,L$4,Results!$G$2:$G$482,"&gt;0"),IF(COUNTIFS(Results!$F$2:$F$482,$A25,Results!$A$2:$A$482,L$4,Results!$H$2:$H$482,"DNF")&gt;0,"DNF","•")))</f>
        <v/>
      </c>
      <c r="M25" s="20" t="str">
        <f aca="false">IF(COUNTIFS(Results!$F$2:$F$482,$A25,Results!$A$2:$A$482,M$4)=0,"",IF(COUNTIFS(Results!$F$2:$F$482,$A25,Results!$A$2:$A$482,M$4,Results!$G$2:$G$482,"&gt;0")&gt;0,_xlfn.MINIFS(Results!$G$2:$G$482,Results!$F$2:$F$482,$A25,Results!$A$2:$A$482,M$4,Results!$G$2:$G$482,"&gt;0"),IF(COUNTIFS(Results!$F$2:$F$482,$A25,Results!$A$2:$A$482,M$4,Results!$H$2:$H$482,"DNF")&gt;0,"DNF","•")))</f>
        <v/>
      </c>
      <c r="N25" s="20" t="str">
        <f aca="false">IF(COUNTIFS(Results!$F$2:$F$482,$A25,Results!$A$2:$A$482,N$4)=0,"",IF(COUNTIFS(Results!$F$2:$F$482,$A25,Results!$A$2:$A$482,N$4,Results!$G$2:$G$482,"&gt;0")&gt;0,_xlfn.MINIFS(Results!$G$2:$G$482,Results!$F$2:$F$482,$A25,Results!$A$2:$A$482,N$4,Results!$G$2:$G$482,"&gt;0"),IF(COUNTIFS(Results!$F$2:$F$482,$A25,Results!$A$2:$A$482,N$4,Results!$H$2:$H$482,"DNF")&gt;0,"DNF","•")))</f>
        <v/>
      </c>
      <c r="O25" s="20" t="str">
        <f aca="false">IF(COUNTIFS(Results!$F$2:$F$482,$A25,Results!$A$2:$A$482,O$4)=0,"",IF(COUNTIFS(Results!$F$2:$F$482,$A25,Results!$A$2:$A$482,O$4,Results!$G$2:$G$482,"&gt;0")&gt;0,_xlfn.MINIFS(Results!$G$2:$G$482,Results!$F$2:$F$482,$A25,Results!$A$2:$A$482,O$4,Results!$G$2:$G$482,"&gt;0"),IF(COUNTIFS(Results!$F$2:$F$482,$A25,Results!$A$2:$A$482,O$4,Results!$H$2:$H$482,"DNF")&gt;0,"DNF","•")))</f>
        <v/>
      </c>
      <c r="P25" s="20" t="str">
        <f aca="false">IF(COUNTIFS(Results!$F$2:$F$482,$A25,Results!$A$2:$A$482,P$4)=0,"",IF(COUNTIFS(Results!$F$2:$F$482,$A25,Results!$A$2:$A$482,P$4,Results!$G$2:$G$482,"&gt;0")&gt;0,_xlfn.MINIFS(Results!$G$2:$G$482,Results!$F$2:$F$482,$A25,Results!$A$2:$A$482,P$4,Results!$G$2:$G$482,"&gt;0"),IF(COUNTIFS(Results!$F$2:$F$482,$A25,Results!$A$2:$A$482,P$4,Results!$H$2:$H$482,"DNF")&gt;0,"DNF","•")))</f>
        <v/>
      </c>
      <c r="Q25" s="20" t="str">
        <f aca="false">IF(COUNTIFS(Results!$F$2:$F$482,$A25,Results!$A$2:$A$482,Q$4)=0,"",IF(COUNTIFS(Results!$F$2:$F$482,$A25,Results!$A$2:$A$482,Q$4,Results!$G$2:$G$482,"&gt;0")&gt;0,_xlfn.MINIFS(Results!$G$2:$G$482,Results!$F$2:$F$482,$A25,Results!$A$2:$A$482,Q$4,Results!$G$2:$G$482,"&gt;0"),IF(COUNTIFS(Results!$F$2:$F$482,$A25,Results!$A$2:$A$482,Q$4,Results!$H$2:$H$482,"DNF")&gt;0,"DNF","•")))</f>
        <v/>
      </c>
      <c r="R25" s="20" t="str">
        <f aca="false">IF(COUNTIFS(Results!$F$2:$F$482,$A25,Results!$A$2:$A$482,R$4)=0,"",IF(COUNTIFS(Results!$F$2:$F$482,$A25,Results!$A$2:$A$482,R$4,Results!$G$2:$G$482,"&gt;0")&gt;0,_xlfn.MINIFS(Results!$G$2:$G$482,Results!$F$2:$F$482,$A25,Results!$A$2:$A$482,R$4,Results!$G$2:$G$482,"&gt;0"),IF(COUNTIFS(Results!$F$2:$F$482,$A25,Results!$A$2:$A$482,R$4,Results!$H$2:$H$482,"DNF")&gt;0,"DNF","•")))</f>
        <v/>
      </c>
      <c r="S25" s="20" t="str">
        <f aca="false">IF(COUNTIFS(Results!$F$2:$F$482,$A25,Results!$A$2:$A$482,S$4)=0,"",IF(COUNTIFS(Results!$F$2:$F$482,$A25,Results!$A$2:$A$482,S$4,Results!$G$2:$G$482,"&gt;0")&gt;0,_xlfn.MINIFS(Results!$G$2:$G$482,Results!$F$2:$F$482,$A25,Results!$A$2:$A$482,S$4,Results!$G$2:$G$482,"&gt;0"),IF(COUNTIFS(Results!$F$2:$F$482,$A25,Results!$A$2:$A$482,S$4,Results!$H$2:$H$482,"DNF")&gt;0,"DNF","•")))</f>
        <v/>
      </c>
      <c r="T25" s="20" t="n">
        <f aca="false">IF(COUNTIFS(Results!$F$2:$F$482,$A25,Results!$A$2:$A$482,T$4)=0,"",IF(COUNTIFS(Results!$F$2:$F$482,$A25,Results!$A$2:$A$482,T$4,Results!$G$2:$G$482,"&gt;0")&gt;0,_xlfn.MINIFS(Results!$G$2:$G$482,Results!$F$2:$F$482,$A25,Results!$A$2:$A$482,T$4,Results!$G$2:$G$482,"&gt;0"),IF(COUNTIFS(Results!$F$2:$F$482,$A25,Results!$A$2:$A$482,T$4,Results!$H$2:$H$482,"DNF")&gt;0,"DNF","•")))</f>
        <v>1</v>
      </c>
      <c r="U25" s="20" t="str">
        <f aca="false">IF(COUNTIFS(Results!$F$2:$F$482,$A25,Results!$A$2:$A$482,U$4)=0,"",IF(COUNTIFS(Results!$F$2:$F$482,$A25,Results!$A$2:$A$482,U$4,Results!$G$2:$G$482,"&gt;0")&gt;0,_xlfn.MINIFS(Results!$G$2:$G$482,Results!$F$2:$F$482,$A25,Results!$A$2:$A$482,U$4,Results!$G$2:$G$482,"&gt;0"),IF(COUNTIFS(Results!$F$2:$F$482,$A25,Results!$A$2:$A$482,U$4,Results!$H$2:$H$482,"DNF")&gt;0,"DNF","•")))</f>
        <v/>
      </c>
      <c r="V25" s="20" t="str">
        <f aca="false">IF(COUNTIFS(Results!$F$2:$F$482,$A25,Results!$A$2:$A$482,V$4)=0,"",IF(COUNTIFS(Results!$F$2:$F$482,$A25,Results!$A$2:$A$482,V$4,Results!$G$2:$G$482,"&gt;0")&gt;0,_xlfn.MINIFS(Results!$G$2:$G$482,Results!$F$2:$F$482,$A25,Results!$A$2:$A$482,V$4,Results!$G$2:$G$482,"&gt;0"),IF(COUNTIFS(Results!$F$2:$F$482,$A25,Results!$A$2:$A$482,V$4,Results!$H$2:$H$482,"DNF")&gt;0,"DNF","•")))</f>
        <v/>
      </c>
      <c r="W25" s="20" t="str">
        <f aca="false">IF(COUNTIFS(Results!$F$2:$F$482,$A25,Results!$A$2:$A$482,W$4)=0,"",IF(COUNTIFS(Results!$F$2:$F$482,$A25,Results!$A$2:$A$482,W$4,Results!$G$2:$G$482,"&gt;0")&gt;0,_xlfn.MINIFS(Results!$G$2:$G$482,Results!$F$2:$F$482,$A25,Results!$A$2:$A$482,W$4,Results!$G$2:$G$482,"&gt;0"),IF(COUNTIFS(Results!$F$2:$F$482,$A25,Results!$A$2:$A$482,W$4,Results!$H$2:$H$482,"DNF")&gt;0,"DNF","•")))</f>
        <v/>
      </c>
      <c r="X25" s="20" t="str">
        <f aca="false">IF(COUNTIFS(Results!$F$2:$F$482,$A25,Results!$A$2:$A$482,X$4)=0,"",IF(COUNTIFS(Results!$F$2:$F$482,$A25,Results!$A$2:$A$482,X$4,Results!$G$2:$G$482,"&gt;0")&gt;0,_xlfn.MINIFS(Results!$G$2:$G$482,Results!$F$2:$F$482,$A25,Results!$A$2:$A$482,X$4,Results!$G$2:$G$482,"&gt;0"),IF(COUNTIFS(Results!$F$2:$F$482,$A25,Results!$A$2:$A$482,X$4,Results!$H$2:$H$482,"DNF")&gt;0,"DNF","•")))</f>
        <v/>
      </c>
      <c r="Y25" s="20" t="str">
        <f aca="false">IF(COUNTIFS(Results!$F$2:$F$482,$A25,Results!$A$2:$A$482,Y$4)=0,"",IF(COUNTIFS(Results!$F$2:$F$482,$A25,Results!$A$2:$A$482,Y$4,Results!$G$2:$G$482,"&gt;0")&gt;0,_xlfn.MINIFS(Results!$G$2:$G$482,Results!$F$2:$F$482,$A25,Results!$A$2:$A$482,Y$4,Results!$G$2:$G$482,"&gt;0"),IF(COUNTIFS(Results!$F$2:$F$482,$A25,Results!$A$2:$A$482,Y$4,Results!$H$2:$H$482,"DNF")&gt;0,"DNF","•")))</f>
        <v/>
      </c>
      <c r="Z25" s="20" t="str">
        <f aca="false">IF(COUNTIFS(Results!$F$2:$F$482,$A25,Results!$A$2:$A$482,Z$4)=0,"",IF(COUNTIFS(Results!$F$2:$F$482,$A25,Results!$A$2:$A$482,Z$4,Results!$G$2:$G$482,"&gt;0")&gt;0,_xlfn.MINIFS(Results!$G$2:$G$482,Results!$F$2:$F$482,$A25,Results!$A$2:$A$482,Z$4,Results!$G$2:$G$482,"&gt;0"),IF(COUNTIFS(Results!$F$2:$F$482,$A25,Results!$A$2:$A$482,Z$4,Results!$H$2:$H$482,"DNF")&gt;0,"DNF","•")))</f>
        <v/>
      </c>
      <c r="AA25" s="20" t="str">
        <f aca="false">IF(COUNTIFS(Results!$F$2:$F$482,$A25,Results!$A$2:$A$482,AA$4)=0,"",IF(COUNTIFS(Results!$F$2:$F$482,$A25,Results!$A$2:$A$482,AA$4,Results!$G$2:$G$482,"&gt;0")&gt;0,_xlfn.MINIFS(Results!$G$2:$G$482,Results!$F$2:$F$482,$A25,Results!$A$2:$A$482,AA$4,Results!$G$2:$G$482,"&gt;0"),IF(COUNTIFS(Results!$F$2:$F$482,$A25,Results!$A$2:$A$482,AA$4,Results!$H$2:$H$482,"DNF")&gt;0,"DNF","•")))</f>
        <v/>
      </c>
      <c r="AB25" s="20" t="str">
        <f aca="false">IF(COUNTIFS(Results!$F$2:$F$482,$A25,Results!$A$2:$A$482,AB$4)=0,"",IF(COUNTIFS(Results!$F$2:$F$482,$A25,Results!$A$2:$A$482,AB$4,Results!$G$2:$G$482,"&gt;0")&gt;0,_xlfn.MINIFS(Results!$G$2:$G$482,Results!$F$2:$F$482,$A25,Results!$A$2:$A$482,AB$4,Results!$G$2:$G$482,"&gt;0"),IF(COUNTIFS(Results!$F$2:$F$482,$A25,Results!$A$2:$A$482,AB$4,Results!$H$2:$H$482,"DNF")&gt;0,"DNF","•")))</f>
        <v/>
      </c>
      <c r="AC25" s="20" t="str">
        <f aca="false">IF(COUNTIFS(Results!$F$2:$F$482,$A25,Results!$A$2:$A$482,AC$4)=0,"",IF(COUNTIFS(Results!$F$2:$F$482,$A25,Results!$A$2:$A$482,AC$4,Results!$G$2:$G$482,"&gt;0")&gt;0,_xlfn.MINIFS(Results!$G$2:$G$482,Results!$F$2:$F$482,$A25,Results!$A$2:$A$482,AC$4,Results!$G$2:$G$482,"&gt;0"),IF(COUNTIFS(Results!$F$2:$F$482,$A25,Results!$A$2:$A$482,AC$4,Results!$H$2:$H$482,"DNF")&gt;0,"DNF","•")))</f>
        <v/>
      </c>
      <c r="AD25" s="20" t="str">
        <f aca="false">IF(COUNTIFS(Results!$F$2:$F$482,$A25,Results!$A$2:$A$482,AD$4)=0,"",IF(COUNTIFS(Results!$F$2:$F$482,$A25,Results!$A$2:$A$482,AD$4,Results!$G$2:$G$482,"&gt;0")&gt;0,_xlfn.MINIFS(Results!$G$2:$G$482,Results!$F$2:$F$482,$A25,Results!$A$2:$A$482,AD$4,Results!$G$2:$G$482,"&gt;0"),IF(COUNTIFS(Results!$F$2:$F$482,$A25,Results!$A$2:$A$482,AD$4,Results!$H$2:$H$482,"DNF")&gt;0,"DNF","•")))</f>
        <v/>
      </c>
      <c r="AE25" s="20" t="str">
        <f aca="false">IF(COUNTIFS(Results!$F$2:$F$482,$A25,Results!$A$2:$A$482,AE$4)=0,"",IF(COUNTIFS(Results!$F$2:$F$482,$A25,Results!$A$2:$A$482,AE$4,Results!$G$2:$G$482,"&gt;0")&gt;0,_xlfn.MINIFS(Results!$G$2:$G$482,Results!$F$2:$F$482,$A25,Results!$A$2:$A$482,AE$4,Results!$G$2:$G$482,"&gt;0"),IF(COUNTIFS(Results!$F$2:$F$482,$A25,Results!$A$2:$A$482,AE$4,Results!$H$2:$H$482,"DNF")&gt;0,"DNF","•")))</f>
        <v/>
      </c>
      <c r="AF25" s="20" t="str">
        <f aca="false">IF(COUNTIFS(Results!$F$2:$F$482,$A25,Results!$A$2:$A$482,AF$4)=0,"",IF(COUNTIFS(Results!$F$2:$F$482,$A25,Results!$A$2:$A$482,AF$4,Results!$G$2:$G$482,"&gt;0")&gt;0,_xlfn.MINIFS(Results!$G$2:$G$482,Results!$F$2:$F$482,$A25,Results!$A$2:$A$482,AF$4,Results!$G$2:$G$482,"&gt;0"),IF(COUNTIFS(Results!$F$2:$F$482,$A25,Results!$A$2:$A$482,AF$4,Results!$H$2:$H$482,"DNF")&gt;0,"DNF","•")))</f>
        <v/>
      </c>
      <c r="AG25" s="20" t="str">
        <f aca="false">IF(COUNTIFS(Results!$F$2:$F$482,$A25,Results!$A$2:$A$482,AG$4)=0,"",IF(COUNTIFS(Results!$F$2:$F$482,$A25,Results!$A$2:$A$482,AG$4,Results!$G$2:$G$482,"&gt;0")&gt;0,_xlfn.MINIFS(Results!$G$2:$G$482,Results!$F$2:$F$482,$A25,Results!$A$2:$A$482,AG$4,Results!$G$2:$G$482,"&gt;0"),IF(COUNTIFS(Results!$F$2:$F$482,$A25,Results!$A$2:$A$482,AG$4,Results!$H$2:$H$482,"DNF")&gt;0,"DNF","•")))</f>
        <v/>
      </c>
      <c r="AH25" s="20" t="str">
        <f aca="false">IF(COUNTIFS(Results!$F$2:$F$482,$A25,Results!$A$2:$A$482,AH$4)=0,"",IF(COUNTIFS(Results!$F$2:$F$482,$A25,Results!$A$2:$A$482,AH$4,Results!$G$2:$G$482,"&gt;0")&gt;0,_xlfn.MINIFS(Results!$G$2:$G$482,Results!$F$2:$F$482,$A25,Results!$A$2:$A$482,AH$4,Results!$G$2:$G$482,"&gt;0"),IF(COUNTIFS(Results!$F$2:$F$482,$A25,Results!$A$2:$A$482,AH$4,Results!$H$2:$H$482,"DNF")&gt;0,"DNF","•")))</f>
        <v/>
      </c>
      <c r="AI25" s="20" t="str">
        <f aca="false">IF(COUNTIFS(Results!$F$2:$F$482,$A25,Results!$A$2:$A$482,AI$4)=0,"",IF(COUNTIFS(Results!$F$2:$F$482,$A25,Results!$A$2:$A$482,AI$4,Results!$G$2:$G$482,"&gt;0")&gt;0,_xlfn.MINIFS(Results!$G$2:$G$482,Results!$F$2:$F$482,$A25,Results!$A$2:$A$482,AI$4,Results!$G$2:$G$482,"&gt;0"),IF(COUNTIFS(Results!$F$2:$F$482,$A25,Results!$A$2:$A$482,AI$4,Results!$H$2:$H$482,"DNF")&gt;0,"DNF","•")))</f>
        <v/>
      </c>
      <c r="AJ25" s="20" t="n">
        <f aca="false">IF(COUNTIFS(Results!$F$2:$F$482,$A25,Results!$A$2:$A$482,AJ$4)=0,"",IF(COUNTIFS(Results!$F$2:$F$482,$A25,Results!$A$2:$A$482,AJ$4,Results!$G$2:$G$482,"&gt;0")&gt;0,_xlfn.MINIFS(Results!$G$2:$G$482,Results!$F$2:$F$482,$A25,Results!$A$2:$A$482,AJ$4,Results!$G$2:$G$482,"&gt;0"),IF(COUNTIFS(Results!$F$2:$F$482,$A25,Results!$A$2:$A$482,AJ$4,Results!$H$2:$H$482,"DNF")&gt;0,"DNF","•")))</f>
        <v>1</v>
      </c>
      <c r="AK25" s="20" t="str">
        <f aca="false">IF(COUNTIFS(Results!$F$2:$F$482,$A25,Results!$A$2:$A$482,AK$4)=0,"",IF(COUNTIFS(Results!$F$2:$F$482,$A25,Results!$A$2:$A$482,AK$4,Results!$G$2:$G$482,"&gt;0")&gt;0,_xlfn.MINIFS(Results!$G$2:$G$482,Results!$F$2:$F$482,$A25,Results!$A$2:$A$482,AK$4,Results!$G$2:$G$482,"&gt;0"),IF(COUNTIFS(Results!$F$2:$F$482,$A25,Results!$A$2:$A$482,AK$4,Results!$H$2:$H$482,"DNF")&gt;0,"DNF","•")))</f>
        <v/>
      </c>
      <c r="AL25" s="20" t="str">
        <f aca="false">IF(COUNTIFS(Results!$F$2:$F$482,$A25,Results!$A$2:$A$482,AL$4)=0,"",IF(COUNTIFS(Results!$F$2:$F$482,$A25,Results!$A$2:$A$482,AL$4,Results!$G$2:$G$482,"&gt;0")&gt;0,_xlfn.MINIFS(Results!$G$2:$G$482,Results!$F$2:$F$482,$A25,Results!$A$2:$A$482,AL$4,Results!$G$2:$G$482,"&gt;0"),IF(COUNTIFS(Results!$F$2:$F$482,$A25,Results!$A$2:$A$482,AL$4,Results!$H$2:$H$482,"DNF")&gt;0,"DNF","•")))</f>
        <v/>
      </c>
      <c r="AM25" s="20" t="str">
        <f aca="false">IF(COUNTIFS(Results!$F$2:$F$482,$A25,Results!$A$2:$A$482,AM$4)=0,"",IF(COUNTIFS(Results!$F$2:$F$482,$A25,Results!$A$2:$A$482,AM$4,Results!$G$2:$G$482,"&gt;0")&gt;0,_xlfn.MINIFS(Results!$G$2:$G$482,Results!$F$2:$F$482,$A25,Results!$A$2:$A$482,AM$4,Results!$G$2:$G$482,"&gt;0"),IF(COUNTIFS(Results!$F$2:$F$482,$A25,Results!$A$2:$A$482,AM$4,Results!$H$2:$H$482,"DNF")&gt;0,"DNF","•")))</f>
        <v/>
      </c>
      <c r="AN25" s="20" t="str">
        <f aca="false">IF(COUNTIFS(Results!$F$2:$F$482,$A25,Results!$A$2:$A$482,AN$4)=0,"",IF(COUNTIFS(Results!$F$2:$F$482,$A25,Results!$A$2:$A$482,AN$4,Results!$G$2:$G$482,"&gt;0")&gt;0,_xlfn.MINIFS(Results!$G$2:$G$482,Results!$F$2:$F$482,$A25,Results!$A$2:$A$482,AN$4,Results!$G$2:$G$482,"&gt;0"),IF(COUNTIFS(Results!$F$2:$F$482,$A25,Results!$A$2:$A$482,AN$4,Results!$H$2:$H$482,"DNF")&gt;0,"DNF","•")))</f>
        <v/>
      </c>
      <c r="AO25" s="20" t="str">
        <f aca="false">IF(COUNTIFS(Results!$F$2:$F$482,$A25,Results!$A$2:$A$482,AO$4)=0,"",IF(COUNTIFS(Results!$F$2:$F$482,$A25,Results!$A$2:$A$482,AO$4,Results!$G$2:$G$482,"&gt;0")&gt;0,_xlfn.MINIFS(Results!$G$2:$G$482,Results!$F$2:$F$482,$A25,Results!$A$2:$A$482,AO$4,Results!$G$2:$G$482,"&gt;0"),IF(COUNTIFS(Results!$F$2:$F$482,$A25,Results!$A$2:$A$482,AO$4,Results!$H$2:$H$482,"DNF")&gt;0,"DNF","•")))</f>
        <v/>
      </c>
      <c r="AP25" s="20" t="str">
        <f aca="false">IF(COUNTIFS(Results!$F$2:$F$482,$A25,Results!$A$2:$A$482,AP$4)=0,"",IF(COUNTIFS(Results!$F$2:$F$482,$A25,Results!$A$2:$A$482,AP$4,Results!$G$2:$G$482,"&gt;0")&gt;0,_xlfn.MINIFS(Results!$G$2:$G$482,Results!$F$2:$F$482,$A25,Results!$A$2:$A$482,AP$4,Results!$G$2:$G$482,"&gt;0"),IF(COUNTIFS(Results!$F$2:$F$482,$A25,Results!$A$2:$A$482,AP$4,Results!$H$2:$H$482,"DNF")&gt;0,"DNF","•")))</f>
        <v/>
      </c>
      <c r="AQ25" s="20" t="str">
        <f aca="false">IF(COUNTIFS(Results!$F$2:$F$482,$A25,Results!$A$2:$A$482,AQ$4)=0,"",IF(COUNTIFS(Results!$F$2:$F$482,$A25,Results!$A$2:$A$482,AQ$4,Results!$G$2:$G$482,"&gt;0")&gt;0,_xlfn.MINIFS(Results!$G$2:$G$482,Results!$F$2:$F$482,$A25,Results!$A$2:$A$482,AQ$4,Results!$G$2:$G$482,"&gt;0"),IF(COUNTIFS(Results!$F$2:$F$482,$A25,Results!$A$2:$A$482,AQ$4,Results!$H$2:$H$482,"DNF")&gt;0,"DNF","•")))</f>
        <v/>
      </c>
      <c r="AR25" s="20" t="n">
        <f aca="false">IF(COUNTIFS(Results!$F$2:$F$482,$A25,Results!$A$2:$A$482,AR$4)=0,"",IF(COUNTIFS(Results!$F$2:$F$482,$A25,Results!$A$2:$A$482,AR$4,Results!$G$2:$G$482,"&gt;0")&gt;0,_xlfn.MINIFS(Results!$G$2:$G$482,Results!$F$2:$F$482,$A25,Results!$A$2:$A$482,AR$4,Results!$G$2:$G$482,"&gt;0"),IF(COUNTIFS(Results!$F$2:$F$482,$A25,Results!$A$2:$A$482,AR$4,Results!$H$2:$H$482,"DNF")&gt;0,"DNF","•")))</f>
        <v>73</v>
      </c>
      <c r="AS25" s="20" t="str">
        <f aca="false">IF(COUNTIFS(Results!$F$2:$F$482,$A25,Results!$A$2:$A$482,AS$4)=0,"",IF(COUNTIFS(Results!$F$2:$F$482,$A25,Results!$A$2:$A$482,AS$4,Results!$G$2:$G$482,"&gt;0")&gt;0,_xlfn.MINIFS(Results!$G$2:$G$482,Results!$F$2:$F$482,$A25,Results!$A$2:$A$482,AS$4,Results!$G$2:$G$482,"&gt;0"),IF(COUNTIFS(Results!$F$2:$F$482,$A25,Results!$A$2:$A$482,AS$4,Results!$H$2:$H$482,"DNF")&gt;0,"DNF","•")))</f>
        <v/>
      </c>
      <c r="AT25" s="20" t="str">
        <f aca="false">IF(COUNTIFS(Results!$F$2:$F$482,$A25,Results!$A$2:$A$482,AT$4)=0,"",IF(COUNTIFS(Results!$F$2:$F$482,$A25,Results!$A$2:$A$482,AT$4,Results!$G$2:$G$482,"&gt;0")&gt;0,_xlfn.MINIFS(Results!$G$2:$G$482,Results!$F$2:$F$482,$A25,Results!$A$2:$A$482,AT$4,Results!$G$2:$G$482,"&gt;0"),IF(COUNTIFS(Results!$F$2:$F$482,$A25,Results!$A$2:$A$482,AT$4,Results!$H$2:$H$482,"DNF")&gt;0,"DNF","•")))</f>
        <v/>
      </c>
      <c r="AU25" s="20" t="str">
        <f aca="false">IF(COUNTIFS(Results!$F$2:$F$482,$A25,Results!$A$2:$A$482,AU$4)=0,"",IF(COUNTIFS(Results!$F$2:$F$482,$A25,Results!$A$2:$A$482,AU$4,Results!$G$2:$G$482,"&gt;0")&gt;0,_xlfn.MINIFS(Results!$G$2:$G$482,Results!$F$2:$F$482,$A25,Results!$A$2:$A$482,AU$4,Results!$G$2:$G$482,"&gt;0"),IF(COUNTIFS(Results!$F$2:$F$482,$A25,Results!$A$2:$A$482,AU$4,Results!$H$2:$H$482,"DNF")&gt;0,"DNF","•")))</f>
        <v/>
      </c>
      <c r="AV25" s="20" t="str">
        <f aca="false">IF(COUNTIFS(Results!$F$2:$F$482,$A25,Results!$A$2:$A$482,AV$4)=0,"",IF(COUNTIFS(Results!$F$2:$F$482,$A25,Results!$A$2:$A$482,AV$4,Results!$G$2:$G$482,"&gt;0")&gt;0,_xlfn.MINIFS(Results!$G$2:$G$482,Results!$F$2:$F$482,$A25,Results!$A$2:$A$482,AV$4,Results!$G$2:$G$482,"&gt;0"),IF(COUNTIFS(Results!$F$2:$F$482,$A25,Results!$A$2:$A$482,AV$4,Results!$H$2:$H$482,"DNF")&gt;0,"DNF","•")))</f>
        <v/>
      </c>
      <c r="AW25" s="20" t="str">
        <f aca="false">IF(COUNTIFS(Results!$F$2:$F$482,$A25,Results!$A$2:$A$482,AW$4)=0,"",IF(COUNTIFS(Results!$F$2:$F$482,$A25,Results!$A$2:$A$482,AW$4,Results!$G$2:$G$482,"&gt;0")&gt;0,_xlfn.MINIFS(Results!$G$2:$G$482,Results!$F$2:$F$482,$A25,Results!$A$2:$A$482,AW$4,Results!$G$2:$G$482,"&gt;0"),IF(COUNTIFS(Results!$F$2:$F$482,$A25,Results!$A$2:$A$482,AW$4,Results!$H$2:$H$482,"DNF")&gt;0,"DNF","•")))</f>
        <v/>
      </c>
      <c r="AX25" s="20" t="str">
        <f aca="false">IF(COUNTIFS(Results!$F$2:$F$482,$A25,Results!$A$2:$A$482,AX$4)=0,"",IF(COUNTIFS(Results!$F$2:$F$482,$A25,Results!$A$2:$A$482,AX$4,Results!$G$2:$G$482,"&gt;0")&gt;0,_xlfn.MINIFS(Results!$G$2:$G$482,Results!$F$2:$F$482,$A25,Results!$A$2:$A$482,AX$4,Results!$G$2:$G$482,"&gt;0"),IF(COUNTIFS(Results!$F$2:$F$482,$A25,Results!$A$2:$A$482,AX$4,Results!$H$2:$H$482,"DNF")&gt;0,"DNF","•")))</f>
        <v/>
      </c>
      <c r="AY25" s="20" t="str">
        <f aca="false">IF(COUNTIFS(Results!$F$2:$F$482,$A25,Results!$A$2:$A$482,AY$4)=0,"",IF(COUNTIFS(Results!$F$2:$F$482,$A25,Results!$A$2:$A$482,AY$4,Results!$G$2:$G$482,"&gt;0")&gt;0,_xlfn.MINIFS(Results!$G$2:$G$482,Results!$F$2:$F$482,$A25,Results!$A$2:$A$482,AY$4,Results!$G$2:$G$482,"&gt;0"),IF(COUNTIFS(Results!$F$2:$F$482,$A25,Results!$A$2:$A$482,AY$4,Results!$H$2:$H$482,"DNF")&gt;0,"DNF","•")))</f>
        <v/>
      </c>
      <c r="AZ25" s="20" t="str">
        <f aca="false">IF(COUNTIFS(Results!$F$2:$F$482,$A25,Results!$A$2:$A$482,AZ$4)=0,"",IF(COUNTIFS(Results!$F$2:$F$482,$A25,Results!$A$2:$A$482,AZ$4,Results!$G$2:$G$482,"&gt;0")&gt;0,_xlfn.MINIFS(Results!$G$2:$G$482,Results!$F$2:$F$482,$A25,Results!$A$2:$A$482,AZ$4,Results!$G$2:$G$482,"&gt;0"),IF(COUNTIFS(Results!$F$2:$F$482,$A25,Results!$A$2:$A$482,AZ$4,Results!$H$2:$H$482,"DNF")&gt;0,"DNF","•")))</f>
        <v/>
      </c>
      <c r="BA25" s="20" t="n">
        <f aca="false">IF(COUNTIFS(Results!$F$2:$F$482,$A25,Results!$A$2:$A$482,BA$4)=0,"",IF(COUNTIFS(Results!$F$2:$F$482,$A25,Results!$A$2:$A$482,BA$4,Results!$G$2:$G$482,"&gt;0")&gt;0,_xlfn.MINIFS(Results!$G$2:$G$482,Results!$F$2:$F$482,$A25,Results!$A$2:$A$482,BA$4,Results!$G$2:$G$482,"&gt;0"),IF(COUNTIFS(Results!$F$2:$F$482,$A25,Results!$A$2:$A$482,BA$4,Results!$H$2:$H$482,"DNF")&gt;0,"DNF","•")))</f>
        <v>70</v>
      </c>
      <c r="BB25" s="20" t="str">
        <f aca="false">IF(COUNTIFS(Results!$F$2:$F$482,$A25,Results!$A$2:$A$482,BB$4)=0,"",IF(COUNTIFS(Results!$F$2:$F$482,$A25,Results!$A$2:$A$482,BB$4,Results!$G$2:$G$482,"&gt;0")&gt;0,_xlfn.MINIFS(Results!$G$2:$G$482,Results!$F$2:$F$482,$A25,Results!$A$2:$A$482,BB$4,Results!$G$2:$G$482,"&gt;0"),IF(COUNTIFS(Results!$F$2:$F$482,$A25,Results!$A$2:$A$482,BB$4,Results!$H$2:$H$482,"DNF")&gt;0,"DNF","•")))</f>
        <v/>
      </c>
      <c r="BC25" s="20" t="str">
        <f aca="false">IF(COUNTIFS(Results!$F$2:$F$482,$A25,Results!$A$2:$A$482,BC$4)=0,"",IF(COUNTIFS(Results!$F$2:$F$482,$A25,Results!$A$2:$A$482,BC$4,Results!$G$2:$G$482,"&gt;0")&gt;0,_xlfn.MINIFS(Results!$G$2:$G$482,Results!$F$2:$F$482,$A25,Results!$A$2:$A$482,BC$4,Results!$G$2:$G$482,"&gt;0"),IF(COUNTIFS(Results!$F$2:$F$482,$A25,Results!$A$2:$A$482,BC$4,Results!$H$2:$H$482,"DNF")&gt;0,"DNF","•")))</f>
        <v/>
      </c>
      <c r="BD25" s="20" t="n">
        <f aca="false">IF(COUNTIFS(Results!$F$2:$F$482,$A25,Results!$A$2:$A$482,BD$4)=0,"",IF(COUNTIFS(Results!$F$2:$F$482,$A25,Results!$A$2:$A$482,BD$4,Results!$G$2:$G$482,"&gt;0")&gt;0,_xlfn.MINIFS(Results!$G$2:$G$482,Results!$F$2:$F$482,$A25,Results!$A$2:$A$482,BD$4,Results!$G$2:$G$482,"&gt;0"),IF(COUNTIFS(Results!$F$2:$F$482,$A25,Results!$A$2:$A$482,BD$4,Results!$H$2:$H$482,"DNF")&gt;0,"DNF","•")))</f>
        <v>3</v>
      </c>
      <c r="BE25" s="20" t="n">
        <f aca="false">IF(COUNTIFS(Results!$F$2:$F$482,$A25,Results!$A$2:$A$482,BE$4)=0,"",IF(COUNTIFS(Results!$F$2:$F$482,$A25,Results!$A$2:$A$482,BE$4,Results!$G$2:$G$482,"&gt;0")&gt;0,_xlfn.MINIFS(Results!$G$2:$G$482,Results!$F$2:$F$482,$A25,Results!$A$2:$A$482,BE$4,Results!$G$2:$G$482,"&gt;0"),IF(COUNTIFS(Results!$F$2:$F$482,$A25,Results!$A$2:$A$482,BE$4,Results!$H$2:$H$482,"DNF")&gt;0,"DNF","•")))</f>
        <v>1</v>
      </c>
      <c r="BF25" s="20" t="str">
        <f aca="false">IF(COUNTIFS(Results!$F$2:$F$482,$A25,Results!$A$2:$A$482,BF$4)=0,"",IF(COUNTIFS(Results!$F$2:$F$482,$A25,Results!$A$2:$A$482,BF$4,Results!$G$2:$G$482,"&gt;0")&gt;0,_xlfn.MINIFS(Results!$G$2:$G$482,Results!$F$2:$F$482,$A25,Results!$A$2:$A$482,BF$4,Results!$G$2:$G$482,"&gt;0"),IF(COUNTIFS(Results!$F$2:$F$482,$A25,Results!$A$2:$A$482,BF$4,Results!$H$2:$H$482,"DNF")&gt;0,"DNF","•")))</f>
        <v/>
      </c>
      <c r="BG25" s="20" t="str">
        <f aca="false">IF(COUNTIFS(Results!$F$2:$F$482,$A25,Results!$A$2:$A$482,BG$4)=0,"",IF(COUNTIFS(Results!$F$2:$F$482,$A25,Results!$A$2:$A$482,BG$4,Results!$G$2:$G$482,"&gt;0")&gt;0,_xlfn.MINIFS(Results!$G$2:$G$482,Results!$F$2:$F$482,$A25,Results!$A$2:$A$482,BG$4,Results!$G$2:$G$482,"&gt;0"),IF(COUNTIFS(Results!$F$2:$F$482,$A25,Results!$A$2:$A$482,BG$4,Results!$H$2:$H$482,"DNF")&gt;0,"DNF","•")))</f>
        <v/>
      </c>
      <c r="BH25" s="20" t="str">
        <f aca="false">IF(COUNTIFS(Results!$F$2:$F$482,$A25,Results!$A$2:$A$482,BH$4)=0,"",IF(COUNTIFS(Results!$F$2:$F$482,$A25,Results!$A$2:$A$482,BH$4,Results!$G$2:$G$482,"&gt;0")&gt;0,_xlfn.MINIFS(Results!$G$2:$G$482,Results!$F$2:$F$482,$A25,Results!$A$2:$A$482,BH$4,Results!$G$2:$G$482,"&gt;0"),IF(COUNTIFS(Results!$F$2:$F$482,$A25,Results!$A$2:$A$482,BH$4,Results!$H$2:$H$482,"DNF")&gt;0,"DNF","•")))</f>
        <v/>
      </c>
      <c r="BI25" s="20" t="str">
        <f aca="false">IF(COUNTIFS(Results!$F$2:$F$482,$A25,Results!$A$2:$A$482,BI$4)=0,"",IF(COUNTIFS(Results!$F$2:$F$482,$A25,Results!$A$2:$A$482,BI$4,Results!$G$2:$G$482,"&gt;0")&gt;0,_xlfn.MINIFS(Results!$G$2:$G$482,Results!$F$2:$F$482,$A25,Results!$A$2:$A$482,BI$4,Results!$G$2:$G$482,"&gt;0"),IF(COUNTIFS(Results!$F$2:$F$482,$A25,Results!$A$2:$A$482,BI$4,Results!$H$2:$H$482,"DNF")&gt;0,"DNF","•")))</f>
        <v/>
      </c>
      <c r="BJ25" s="20" t="str">
        <f aca="false">IF(COUNTIFS(Results!$F$2:$F$482,$A25,Results!$A$2:$A$482,BJ$4)=0,"",IF(COUNTIFS(Results!$F$2:$F$482,$A25,Results!$A$2:$A$482,BJ$4,Results!$G$2:$G$482,"&gt;0")&gt;0,_xlfn.MINIFS(Results!$G$2:$G$482,Results!$F$2:$F$482,$A25,Results!$A$2:$A$482,BJ$4,Results!$G$2:$G$482,"&gt;0"),IF(COUNTIFS(Results!$F$2:$F$482,$A25,Results!$A$2:$A$482,BJ$4,Results!$H$2:$H$482,"DNF")&gt;0,"DNF","•")))</f>
        <v/>
      </c>
      <c r="BK25" s="20" t="str">
        <f aca="false">IF(COUNTIFS(Results!$F$2:$F$482,$A25,Results!$A$2:$A$482,BK$4)=0,"",IF(COUNTIFS(Results!$F$2:$F$482,$A25,Results!$A$2:$A$482,BK$4,Results!$G$2:$G$482,"&gt;0")&gt;0,_xlfn.MINIFS(Results!$G$2:$G$482,Results!$F$2:$F$482,$A25,Results!$A$2:$A$482,BK$4,Results!$G$2:$G$482,"&gt;0"),IF(COUNTIFS(Results!$F$2:$F$482,$A25,Results!$A$2:$A$482,BK$4,Results!$H$2:$H$482,"DNF")&gt;0,"DNF","•")))</f>
        <v/>
      </c>
      <c r="BL25" s="20" t="str">
        <f aca="false">IF(COUNTIFS(Results!$F$2:$F$482,$A25,Results!$A$2:$A$482,BL$4)=0,"",IF(COUNTIFS(Results!$F$2:$F$482,$A25,Results!$A$2:$A$482,BL$4,Results!$G$2:$G$482,"&gt;0")&gt;0,_xlfn.MINIFS(Results!$G$2:$G$482,Results!$F$2:$F$482,$A25,Results!$A$2:$A$482,BL$4,Results!$G$2:$G$482,"&gt;0"),IF(COUNTIFS(Results!$F$2:$F$482,$A25,Results!$A$2:$A$482,BL$4,Results!$H$2:$H$482,"DNF")&gt;0,"DNF","•")))</f>
        <v/>
      </c>
    </row>
    <row r="26" customFormat="false" ht="15" hidden="false" customHeight="false" outlineLevel="0" collapsed="false">
      <c r="A26" s="7" t="str">
        <f aca="false">Riders!A24</f>
        <v>Natalia Gacek</v>
      </c>
      <c r="B26" s="20" t="str">
        <f aca="false">IF(COUNTIFS(Results!$F$2:$F$482,$A26,Results!$A$2:$A$482,B$4)=0,"",IF(COUNTIFS(Results!$F$2:$F$482,$A26,Results!$A$2:$A$482,B$4,Results!$G$2:$G$482,"&gt;0")&gt;0,_xlfn.MINIFS(Results!$G$2:$G$482,Results!$F$2:$F$482,$A26,Results!$A$2:$A$482,B$4,Results!$G$2:$G$482,"&gt;0"),IF(COUNTIFS(Results!$F$2:$F$482,$A26,Results!$A$2:$A$482,B$4,Results!$H$2:$H$482,"DNF")&gt;0,"DNF","•")))</f>
        <v/>
      </c>
      <c r="C26" s="20" t="str">
        <f aca="false">IF(COUNTIFS(Results!$F$2:$F$482,$A26,Results!$A$2:$A$482,C$4)=0,"",IF(COUNTIFS(Results!$F$2:$F$482,$A26,Results!$A$2:$A$482,C$4,Results!$G$2:$G$482,"&gt;0")&gt;0,_xlfn.MINIFS(Results!$G$2:$G$482,Results!$F$2:$F$482,$A26,Results!$A$2:$A$482,C$4,Results!$G$2:$G$482,"&gt;0"),IF(COUNTIFS(Results!$F$2:$F$482,$A26,Results!$A$2:$A$482,C$4,Results!$H$2:$H$482,"DNF")&gt;0,"DNF","•")))</f>
        <v/>
      </c>
      <c r="D26" s="20" t="str">
        <f aca="false">IF(COUNTIFS(Results!$F$2:$F$482,$A26,Results!$A$2:$A$482,D$4)=0,"",IF(COUNTIFS(Results!$F$2:$F$482,$A26,Results!$A$2:$A$482,D$4,Results!$G$2:$G$482,"&gt;0")&gt;0,_xlfn.MINIFS(Results!$G$2:$G$482,Results!$F$2:$F$482,$A26,Results!$A$2:$A$482,D$4,Results!$G$2:$G$482,"&gt;0"),IF(COUNTIFS(Results!$F$2:$F$482,$A26,Results!$A$2:$A$482,D$4,Results!$H$2:$H$482,"DNF")&gt;0,"DNF","•")))</f>
        <v/>
      </c>
      <c r="E26" s="20" t="str">
        <f aca="false">IF(COUNTIFS(Results!$F$2:$F$482,$A26,Results!$A$2:$A$482,E$4)=0,"",IF(COUNTIFS(Results!$F$2:$F$482,$A26,Results!$A$2:$A$482,E$4,Results!$G$2:$G$482,"&gt;0")&gt;0,_xlfn.MINIFS(Results!$G$2:$G$482,Results!$F$2:$F$482,$A26,Results!$A$2:$A$482,E$4,Results!$G$2:$G$482,"&gt;0"),IF(COUNTIFS(Results!$F$2:$F$482,$A26,Results!$A$2:$A$482,E$4,Results!$H$2:$H$482,"DNF")&gt;0,"DNF","•")))</f>
        <v/>
      </c>
      <c r="F26" s="20" t="str">
        <f aca="false">IF(COUNTIFS(Results!$F$2:$F$482,$A26,Results!$A$2:$A$482,F$4)=0,"",IF(COUNTIFS(Results!$F$2:$F$482,$A26,Results!$A$2:$A$482,F$4,Results!$G$2:$G$482,"&gt;0")&gt;0,_xlfn.MINIFS(Results!$G$2:$G$482,Results!$F$2:$F$482,$A26,Results!$A$2:$A$482,F$4,Results!$G$2:$G$482,"&gt;0"),IF(COUNTIFS(Results!$F$2:$F$482,$A26,Results!$A$2:$A$482,F$4,Results!$H$2:$H$482,"DNF")&gt;0,"DNF","•")))</f>
        <v/>
      </c>
      <c r="G26" s="20" t="str">
        <f aca="false">IF(COUNTIFS(Results!$F$2:$F$482,$A26,Results!$A$2:$A$482,G$4)=0,"",IF(COUNTIFS(Results!$F$2:$F$482,$A26,Results!$A$2:$A$482,G$4,Results!$G$2:$G$482,"&gt;0")&gt;0,_xlfn.MINIFS(Results!$G$2:$G$482,Results!$F$2:$F$482,$A26,Results!$A$2:$A$482,G$4,Results!$G$2:$G$482,"&gt;0"),IF(COUNTIFS(Results!$F$2:$F$482,$A26,Results!$A$2:$A$482,G$4,Results!$H$2:$H$482,"DNF")&gt;0,"DNF","•")))</f>
        <v/>
      </c>
      <c r="H26" s="20" t="str">
        <f aca="false">IF(COUNTIFS(Results!$F$2:$F$482,$A26,Results!$A$2:$A$482,H$4)=0,"",IF(COUNTIFS(Results!$F$2:$F$482,$A26,Results!$A$2:$A$482,H$4,Results!$G$2:$G$482,"&gt;0")&gt;0,_xlfn.MINIFS(Results!$G$2:$G$482,Results!$F$2:$F$482,$A26,Results!$A$2:$A$482,H$4,Results!$G$2:$G$482,"&gt;0"),IF(COUNTIFS(Results!$F$2:$F$482,$A26,Results!$A$2:$A$482,H$4,Results!$H$2:$H$482,"DNF")&gt;0,"DNF","•")))</f>
        <v>DNF</v>
      </c>
      <c r="I26" s="20" t="str">
        <f aca="false">IF(COUNTIFS(Results!$F$2:$F$482,$A26,Results!$A$2:$A$482,I$4)=0,"",IF(COUNTIFS(Results!$F$2:$F$482,$A26,Results!$A$2:$A$482,I$4,Results!$G$2:$G$482,"&gt;0")&gt;0,_xlfn.MINIFS(Results!$G$2:$G$482,Results!$F$2:$F$482,$A26,Results!$A$2:$A$482,I$4,Results!$G$2:$G$482,"&gt;0"),IF(COUNTIFS(Results!$F$2:$F$482,$A26,Results!$A$2:$A$482,I$4,Results!$H$2:$H$482,"DNF")&gt;0,"DNF","•")))</f>
        <v/>
      </c>
      <c r="J26" s="20" t="str">
        <f aca="false">IF(COUNTIFS(Results!$F$2:$F$482,$A26,Results!$A$2:$A$482,J$4)=0,"",IF(COUNTIFS(Results!$F$2:$F$482,$A26,Results!$A$2:$A$482,J$4,Results!$G$2:$G$482,"&gt;0")&gt;0,_xlfn.MINIFS(Results!$G$2:$G$482,Results!$F$2:$F$482,$A26,Results!$A$2:$A$482,J$4,Results!$G$2:$G$482,"&gt;0"),IF(COUNTIFS(Results!$F$2:$F$482,$A26,Results!$A$2:$A$482,J$4,Results!$H$2:$H$482,"DNF")&gt;0,"DNF","•")))</f>
        <v/>
      </c>
      <c r="K26" s="20" t="str">
        <f aca="false">IF(COUNTIFS(Results!$F$2:$F$482,$A26,Results!$A$2:$A$482,K$4)=0,"",IF(COUNTIFS(Results!$F$2:$F$482,$A26,Results!$A$2:$A$482,K$4,Results!$G$2:$G$482,"&gt;0")&gt;0,_xlfn.MINIFS(Results!$G$2:$G$482,Results!$F$2:$F$482,$A26,Results!$A$2:$A$482,K$4,Results!$G$2:$G$482,"&gt;0"),IF(COUNTIFS(Results!$F$2:$F$482,$A26,Results!$A$2:$A$482,K$4,Results!$H$2:$H$482,"DNF")&gt;0,"DNF","•")))</f>
        <v/>
      </c>
      <c r="L26" s="20" t="str">
        <f aca="false">IF(COUNTIFS(Results!$F$2:$F$482,$A26,Results!$A$2:$A$482,L$4)=0,"",IF(COUNTIFS(Results!$F$2:$F$482,$A26,Results!$A$2:$A$482,L$4,Results!$G$2:$G$482,"&gt;0")&gt;0,_xlfn.MINIFS(Results!$G$2:$G$482,Results!$F$2:$F$482,$A26,Results!$A$2:$A$482,L$4,Results!$G$2:$G$482,"&gt;0"),IF(COUNTIFS(Results!$F$2:$F$482,$A26,Results!$A$2:$A$482,L$4,Results!$H$2:$H$482,"DNF")&gt;0,"DNF","•")))</f>
        <v/>
      </c>
      <c r="M26" s="20" t="str">
        <f aca="false">IF(COUNTIFS(Results!$F$2:$F$482,$A26,Results!$A$2:$A$482,M$4)=0,"",IF(COUNTIFS(Results!$F$2:$F$482,$A26,Results!$A$2:$A$482,M$4,Results!$G$2:$G$482,"&gt;0")&gt;0,_xlfn.MINIFS(Results!$G$2:$G$482,Results!$F$2:$F$482,$A26,Results!$A$2:$A$482,M$4,Results!$G$2:$G$482,"&gt;0"),IF(COUNTIFS(Results!$F$2:$F$482,$A26,Results!$A$2:$A$482,M$4,Results!$H$2:$H$482,"DNF")&gt;0,"DNF","•")))</f>
        <v/>
      </c>
      <c r="N26" s="20" t="str">
        <f aca="false">IF(COUNTIFS(Results!$F$2:$F$482,$A26,Results!$A$2:$A$482,N$4)=0,"",IF(COUNTIFS(Results!$F$2:$F$482,$A26,Results!$A$2:$A$482,N$4,Results!$G$2:$G$482,"&gt;0")&gt;0,_xlfn.MINIFS(Results!$G$2:$G$482,Results!$F$2:$F$482,$A26,Results!$A$2:$A$482,N$4,Results!$G$2:$G$482,"&gt;0"),IF(COUNTIFS(Results!$F$2:$F$482,$A26,Results!$A$2:$A$482,N$4,Results!$H$2:$H$482,"DNF")&gt;0,"DNF","•")))</f>
        <v/>
      </c>
      <c r="O26" s="20" t="str">
        <f aca="false">IF(COUNTIFS(Results!$F$2:$F$482,$A26,Results!$A$2:$A$482,O$4)=0,"",IF(COUNTIFS(Results!$F$2:$F$482,$A26,Results!$A$2:$A$482,O$4,Results!$G$2:$G$482,"&gt;0")&gt;0,_xlfn.MINIFS(Results!$G$2:$G$482,Results!$F$2:$F$482,$A26,Results!$A$2:$A$482,O$4,Results!$G$2:$G$482,"&gt;0"),IF(COUNTIFS(Results!$F$2:$F$482,$A26,Results!$A$2:$A$482,O$4,Results!$H$2:$H$482,"DNF")&gt;0,"DNF","•")))</f>
        <v/>
      </c>
      <c r="P26" s="20" t="str">
        <f aca="false">IF(COUNTIFS(Results!$F$2:$F$482,$A26,Results!$A$2:$A$482,P$4)=0,"",IF(COUNTIFS(Results!$F$2:$F$482,$A26,Results!$A$2:$A$482,P$4,Results!$G$2:$G$482,"&gt;0")&gt;0,_xlfn.MINIFS(Results!$G$2:$G$482,Results!$F$2:$F$482,$A26,Results!$A$2:$A$482,P$4,Results!$G$2:$G$482,"&gt;0"),IF(COUNTIFS(Results!$F$2:$F$482,$A26,Results!$A$2:$A$482,P$4,Results!$H$2:$H$482,"DNF")&gt;0,"DNF","•")))</f>
        <v/>
      </c>
      <c r="Q26" s="20" t="str">
        <f aca="false">IF(COUNTIFS(Results!$F$2:$F$482,$A26,Results!$A$2:$A$482,Q$4)=0,"",IF(COUNTIFS(Results!$F$2:$F$482,$A26,Results!$A$2:$A$482,Q$4,Results!$G$2:$G$482,"&gt;0")&gt;0,_xlfn.MINIFS(Results!$G$2:$G$482,Results!$F$2:$F$482,$A26,Results!$A$2:$A$482,Q$4,Results!$G$2:$G$482,"&gt;0"),IF(COUNTIFS(Results!$F$2:$F$482,$A26,Results!$A$2:$A$482,Q$4,Results!$H$2:$H$482,"DNF")&gt;0,"DNF","•")))</f>
        <v/>
      </c>
      <c r="R26" s="20" t="str">
        <f aca="false">IF(COUNTIFS(Results!$F$2:$F$482,$A26,Results!$A$2:$A$482,R$4)=0,"",IF(COUNTIFS(Results!$F$2:$F$482,$A26,Results!$A$2:$A$482,R$4,Results!$G$2:$G$482,"&gt;0")&gt;0,_xlfn.MINIFS(Results!$G$2:$G$482,Results!$F$2:$F$482,$A26,Results!$A$2:$A$482,R$4,Results!$G$2:$G$482,"&gt;0"),IF(COUNTIFS(Results!$F$2:$F$482,$A26,Results!$A$2:$A$482,R$4,Results!$H$2:$H$482,"DNF")&gt;0,"DNF","•")))</f>
        <v/>
      </c>
      <c r="S26" s="20" t="str">
        <f aca="false">IF(COUNTIFS(Results!$F$2:$F$482,$A26,Results!$A$2:$A$482,S$4)=0,"",IF(COUNTIFS(Results!$F$2:$F$482,$A26,Results!$A$2:$A$482,S$4,Results!$G$2:$G$482,"&gt;0")&gt;0,_xlfn.MINIFS(Results!$G$2:$G$482,Results!$F$2:$F$482,$A26,Results!$A$2:$A$482,S$4,Results!$G$2:$G$482,"&gt;0"),IF(COUNTIFS(Results!$F$2:$F$482,$A26,Results!$A$2:$A$482,S$4,Results!$H$2:$H$482,"DNF")&gt;0,"DNF","•")))</f>
        <v/>
      </c>
      <c r="T26" s="20" t="str">
        <f aca="false">IF(COUNTIFS(Results!$F$2:$F$482,$A26,Results!$A$2:$A$482,T$4)=0,"",IF(COUNTIFS(Results!$F$2:$F$482,$A26,Results!$A$2:$A$482,T$4,Results!$G$2:$G$482,"&gt;0")&gt;0,_xlfn.MINIFS(Results!$G$2:$G$482,Results!$F$2:$F$482,$A26,Results!$A$2:$A$482,T$4,Results!$G$2:$G$482,"&gt;0"),IF(COUNTIFS(Results!$F$2:$F$482,$A26,Results!$A$2:$A$482,T$4,Results!$H$2:$H$482,"DNF")&gt;0,"DNF","•")))</f>
        <v/>
      </c>
      <c r="U26" s="20" t="str">
        <f aca="false">IF(COUNTIFS(Results!$F$2:$F$482,$A26,Results!$A$2:$A$482,U$4)=0,"",IF(COUNTIFS(Results!$F$2:$F$482,$A26,Results!$A$2:$A$482,U$4,Results!$G$2:$G$482,"&gt;0")&gt;0,_xlfn.MINIFS(Results!$G$2:$G$482,Results!$F$2:$F$482,$A26,Results!$A$2:$A$482,U$4,Results!$G$2:$G$482,"&gt;0"),IF(COUNTIFS(Results!$F$2:$F$482,$A26,Results!$A$2:$A$482,U$4,Results!$H$2:$H$482,"DNF")&gt;0,"DNF","•")))</f>
        <v/>
      </c>
      <c r="V26" s="20" t="str">
        <f aca="false">IF(COUNTIFS(Results!$F$2:$F$482,$A26,Results!$A$2:$A$482,V$4)=0,"",IF(COUNTIFS(Results!$F$2:$F$482,$A26,Results!$A$2:$A$482,V$4,Results!$G$2:$G$482,"&gt;0")&gt;0,_xlfn.MINIFS(Results!$G$2:$G$482,Results!$F$2:$F$482,$A26,Results!$A$2:$A$482,V$4,Results!$G$2:$G$482,"&gt;0"),IF(COUNTIFS(Results!$F$2:$F$482,$A26,Results!$A$2:$A$482,V$4,Results!$H$2:$H$482,"DNF")&gt;0,"DNF","•")))</f>
        <v/>
      </c>
      <c r="W26" s="20" t="str">
        <f aca="false">IF(COUNTIFS(Results!$F$2:$F$482,$A26,Results!$A$2:$A$482,W$4)=0,"",IF(COUNTIFS(Results!$F$2:$F$482,$A26,Results!$A$2:$A$482,W$4,Results!$G$2:$G$482,"&gt;0")&gt;0,_xlfn.MINIFS(Results!$G$2:$G$482,Results!$F$2:$F$482,$A26,Results!$A$2:$A$482,W$4,Results!$G$2:$G$482,"&gt;0"),IF(COUNTIFS(Results!$F$2:$F$482,$A26,Results!$A$2:$A$482,W$4,Results!$H$2:$H$482,"DNF")&gt;0,"DNF","•")))</f>
        <v/>
      </c>
      <c r="X26" s="20" t="str">
        <f aca="false">IF(COUNTIFS(Results!$F$2:$F$482,$A26,Results!$A$2:$A$482,X$4)=0,"",IF(COUNTIFS(Results!$F$2:$F$482,$A26,Results!$A$2:$A$482,X$4,Results!$G$2:$G$482,"&gt;0")&gt;0,_xlfn.MINIFS(Results!$G$2:$G$482,Results!$F$2:$F$482,$A26,Results!$A$2:$A$482,X$4,Results!$G$2:$G$482,"&gt;0"),IF(COUNTIFS(Results!$F$2:$F$482,$A26,Results!$A$2:$A$482,X$4,Results!$H$2:$H$482,"DNF")&gt;0,"DNF","•")))</f>
        <v/>
      </c>
      <c r="Y26" s="20" t="str">
        <f aca="false">IF(COUNTIFS(Results!$F$2:$F$482,$A26,Results!$A$2:$A$482,Y$4)=0,"",IF(COUNTIFS(Results!$F$2:$F$482,$A26,Results!$A$2:$A$482,Y$4,Results!$G$2:$G$482,"&gt;0")&gt;0,_xlfn.MINIFS(Results!$G$2:$G$482,Results!$F$2:$F$482,$A26,Results!$A$2:$A$482,Y$4,Results!$G$2:$G$482,"&gt;0"),IF(COUNTIFS(Results!$F$2:$F$482,$A26,Results!$A$2:$A$482,Y$4,Results!$H$2:$H$482,"DNF")&gt;0,"DNF","•")))</f>
        <v/>
      </c>
      <c r="Z26" s="20" t="str">
        <f aca="false">IF(COUNTIFS(Results!$F$2:$F$482,$A26,Results!$A$2:$A$482,Z$4)=0,"",IF(COUNTIFS(Results!$F$2:$F$482,$A26,Results!$A$2:$A$482,Z$4,Results!$G$2:$G$482,"&gt;0")&gt;0,_xlfn.MINIFS(Results!$G$2:$G$482,Results!$F$2:$F$482,$A26,Results!$A$2:$A$482,Z$4,Results!$G$2:$G$482,"&gt;0"),IF(COUNTIFS(Results!$F$2:$F$482,$A26,Results!$A$2:$A$482,Z$4,Results!$H$2:$H$482,"DNF")&gt;0,"DNF","•")))</f>
        <v/>
      </c>
      <c r="AA26" s="20" t="str">
        <f aca="false">IF(COUNTIFS(Results!$F$2:$F$482,$A26,Results!$A$2:$A$482,AA$4)=0,"",IF(COUNTIFS(Results!$F$2:$F$482,$A26,Results!$A$2:$A$482,AA$4,Results!$G$2:$G$482,"&gt;0")&gt;0,_xlfn.MINIFS(Results!$G$2:$G$482,Results!$F$2:$F$482,$A26,Results!$A$2:$A$482,AA$4,Results!$G$2:$G$482,"&gt;0"),IF(COUNTIFS(Results!$F$2:$F$482,$A26,Results!$A$2:$A$482,AA$4,Results!$H$2:$H$482,"DNF")&gt;0,"DNF","•")))</f>
        <v/>
      </c>
      <c r="AB26" s="20" t="str">
        <f aca="false">IF(COUNTIFS(Results!$F$2:$F$482,$A26,Results!$A$2:$A$482,AB$4)=0,"",IF(COUNTIFS(Results!$F$2:$F$482,$A26,Results!$A$2:$A$482,AB$4,Results!$G$2:$G$482,"&gt;0")&gt;0,_xlfn.MINIFS(Results!$G$2:$G$482,Results!$F$2:$F$482,$A26,Results!$A$2:$A$482,AB$4,Results!$G$2:$G$482,"&gt;0"),IF(COUNTIFS(Results!$F$2:$F$482,$A26,Results!$A$2:$A$482,AB$4,Results!$H$2:$H$482,"DNF")&gt;0,"DNF","•")))</f>
        <v/>
      </c>
      <c r="AC26" s="20" t="str">
        <f aca="false">IF(COUNTIFS(Results!$F$2:$F$482,$A26,Results!$A$2:$A$482,AC$4)=0,"",IF(COUNTIFS(Results!$F$2:$F$482,$A26,Results!$A$2:$A$482,AC$4,Results!$G$2:$G$482,"&gt;0")&gt;0,_xlfn.MINIFS(Results!$G$2:$G$482,Results!$F$2:$F$482,$A26,Results!$A$2:$A$482,AC$4,Results!$G$2:$G$482,"&gt;0"),IF(COUNTIFS(Results!$F$2:$F$482,$A26,Results!$A$2:$A$482,AC$4,Results!$H$2:$H$482,"DNF")&gt;0,"DNF","•")))</f>
        <v/>
      </c>
      <c r="AD26" s="20" t="str">
        <f aca="false">IF(COUNTIFS(Results!$F$2:$F$482,$A26,Results!$A$2:$A$482,AD$4)=0,"",IF(COUNTIFS(Results!$F$2:$F$482,$A26,Results!$A$2:$A$482,AD$4,Results!$G$2:$G$482,"&gt;0")&gt;0,_xlfn.MINIFS(Results!$G$2:$G$482,Results!$F$2:$F$482,$A26,Results!$A$2:$A$482,AD$4,Results!$G$2:$G$482,"&gt;0"),IF(COUNTIFS(Results!$F$2:$F$482,$A26,Results!$A$2:$A$482,AD$4,Results!$H$2:$H$482,"DNF")&gt;0,"DNF","•")))</f>
        <v/>
      </c>
      <c r="AE26" s="20" t="str">
        <f aca="false">IF(COUNTIFS(Results!$F$2:$F$482,$A26,Results!$A$2:$A$482,AE$4)=0,"",IF(COUNTIFS(Results!$F$2:$F$482,$A26,Results!$A$2:$A$482,AE$4,Results!$G$2:$G$482,"&gt;0")&gt;0,_xlfn.MINIFS(Results!$G$2:$G$482,Results!$F$2:$F$482,$A26,Results!$A$2:$A$482,AE$4,Results!$G$2:$G$482,"&gt;0"),IF(COUNTIFS(Results!$F$2:$F$482,$A26,Results!$A$2:$A$482,AE$4,Results!$H$2:$H$482,"DNF")&gt;0,"DNF","•")))</f>
        <v/>
      </c>
      <c r="AF26" s="20" t="str">
        <f aca="false">IF(COUNTIFS(Results!$F$2:$F$482,$A26,Results!$A$2:$A$482,AF$4)=0,"",IF(COUNTIFS(Results!$F$2:$F$482,$A26,Results!$A$2:$A$482,AF$4,Results!$G$2:$G$482,"&gt;0")&gt;0,_xlfn.MINIFS(Results!$G$2:$G$482,Results!$F$2:$F$482,$A26,Results!$A$2:$A$482,AF$4,Results!$G$2:$G$482,"&gt;0"),IF(COUNTIFS(Results!$F$2:$F$482,$A26,Results!$A$2:$A$482,AF$4,Results!$H$2:$H$482,"DNF")&gt;0,"DNF","•")))</f>
        <v/>
      </c>
      <c r="AG26" s="20" t="str">
        <f aca="false">IF(COUNTIFS(Results!$F$2:$F$482,$A26,Results!$A$2:$A$482,AG$4)=0,"",IF(COUNTIFS(Results!$F$2:$F$482,$A26,Results!$A$2:$A$482,AG$4,Results!$G$2:$G$482,"&gt;0")&gt;0,_xlfn.MINIFS(Results!$G$2:$G$482,Results!$F$2:$F$482,$A26,Results!$A$2:$A$482,AG$4,Results!$G$2:$G$482,"&gt;0"),IF(COUNTIFS(Results!$F$2:$F$482,$A26,Results!$A$2:$A$482,AG$4,Results!$H$2:$H$482,"DNF")&gt;0,"DNF","•")))</f>
        <v/>
      </c>
      <c r="AH26" s="20" t="str">
        <f aca="false">IF(COUNTIFS(Results!$F$2:$F$482,$A26,Results!$A$2:$A$482,AH$4)=0,"",IF(COUNTIFS(Results!$F$2:$F$482,$A26,Results!$A$2:$A$482,AH$4,Results!$G$2:$G$482,"&gt;0")&gt;0,_xlfn.MINIFS(Results!$G$2:$G$482,Results!$F$2:$F$482,$A26,Results!$A$2:$A$482,AH$4,Results!$G$2:$G$482,"&gt;0"),IF(COUNTIFS(Results!$F$2:$F$482,$A26,Results!$A$2:$A$482,AH$4,Results!$H$2:$H$482,"DNF")&gt;0,"DNF","•")))</f>
        <v/>
      </c>
      <c r="AI26" s="20" t="str">
        <f aca="false">IF(COUNTIFS(Results!$F$2:$F$482,$A26,Results!$A$2:$A$482,AI$4)=0,"",IF(COUNTIFS(Results!$F$2:$F$482,$A26,Results!$A$2:$A$482,AI$4,Results!$G$2:$G$482,"&gt;0")&gt;0,_xlfn.MINIFS(Results!$G$2:$G$482,Results!$F$2:$F$482,$A26,Results!$A$2:$A$482,AI$4,Results!$G$2:$G$482,"&gt;0"),IF(COUNTIFS(Results!$F$2:$F$482,$A26,Results!$A$2:$A$482,AI$4,Results!$H$2:$H$482,"DNF")&gt;0,"DNF","•")))</f>
        <v/>
      </c>
      <c r="AJ26" s="20" t="n">
        <f aca="false">IF(COUNTIFS(Results!$F$2:$F$482,$A26,Results!$A$2:$A$482,AJ$4)=0,"",IF(COUNTIFS(Results!$F$2:$F$482,$A26,Results!$A$2:$A$482,AJ$4,Results!$G$2:$G$482,"&gt;0")&gt;0,_xlfn.MINIFS(Results!$G$2:$G$482,Results!$F$2:$F$482,$A26,Results!$A$2:$A$482,AJ$4,Results!$G$2:$G$482,"&gt;0"),IF(COUNTIFS(Results!$F$2:$F$482,$A26,Results!$A$2:$A$482,AJ$4,Results!$H$2:$H$482,"DNF")&gt;0,"DNF","•")))</f>
        <v>15</v>
      </c>
      <c r="AK26" s="20" t="str">
        <f aca="false">IF(COUNTIFS(Results!$F$2:$F$482,$A26,Results!$A$2:$A$482,AK$4)=0,"",IF(COUNTIFS(Results!$F$2:$F$482,$A26,Results!$A$2:$A$482,AK$4,Results!$G$2:$G$482,"&gt;0")&gt;0,_xlfn.MINIFS(Results!$G$2:$G$482,Results!$F$2:$F$482,$A26,Results!$A$2:$A$482,AK$4,Results!$G$2:$G$482,"&gt;0"),IF(COUNTIFS(Results!$F$2:$F$482,$A26,Results!$A$2:$A$482,AK$4,Results!$H$2:$H$482,"DNF")&gt;0,"DNF","•")))</f>
        <v/>
      </c>
      <c r="AL26" s="20" t="str">
        <f aca="false">IF(COUNTIFS(Results!$F$2:$F$482,$A26,Results!$A$2:$A$482,AL$4)=0,"",IF(COUNTIFS(Results!$F$2:$F$482,$A26,Results!$A$2:$A$482,AL$4,Results!$G$2:$G$482,"&gt;0")&gt;0,_xlfn.MINIFS(Results!$G$2:$G$482,Results!$F$2:$F$482,$A26,Results!$A$2:$A$482,AL$4,Results!$G$2:$G$482,"&gt;0"),IF(COUNTIFS(Results!$F$2:$F$482,$A26,Results!$A$2:$A$482,AL$4,Results!$H$2:$H$482,"DNF")&gt;0,"DNF","•")))</f>
        <v/>
      </c>
      <c r="AM26" s="20" t="str">
        <f aca="false">IF(COUNTIFS(Results!$F$2:$F$482,$A26,Results!$A$2:$A$482,AM$4)=0,"",IF(COUNTIFS(Results!$F$2:$F$482,$A26,Results!$A$2:$A$482,AM$4,Results!$G$2:$G$482,"&gt;0")&gt;0,_xlfn.MINIFS(Results!$G$2:$G$482,Results!$F$2:$F$482,$A26,Results!$A$2:$A$482,AM$4,Results!$G$2:$G$482,"&gt;0"),IF(COUNTIFS(Results!$F$2:$F$482,$A26,Results!$A$2:$A$482,AM$4,Results!$H$2:$H$482,"DNF")&gt;0,"DNF","•")))</f>
        <v/>
      </c>
      <c r="AN26" s="20" t="str">
        <f aca="false">IF(COUNTIFS(Results!$F$2:$F$482,$A26,Results!$A$2:$A$482,AN$4)=0,"",IF(COUNTIFS(Results!$F$2:$F$482,$A26,Results!$A$2:$A$482,AN$4,Results!$G$2:$G$482,"&gt;0")&gt;0,_xlfn.MINIFS(Results!$G$2:$G$482,Results!$F$2:$F$482,$A26,Results!$A$2:$A$482,AN$4,Results!$G$2:$G$482,"&gt;0"),IF(COUNTIFS(Results!$F$2:$F$482,$A26,Results!$A$2:$A$482,AN$4,Results!$H$2:$H$482,"DNF")&gt;0,"DNF","•")))</f>
        <v/>
      </c>
      <c r="AO26" s="20" t="str">
        <f aca="false">IF(COUNTIFS(Results!$F$2:$F$482,$A26,Results!$A$2:$A$482,AO$4)=0,"",IF(COUNTIFS(Results!$F$2:$F$482,$A26,Results!$A$2:$A$482,AO$4,Results!$G$2:$G$482,"&gt;0")&gt;0,_xlfn.MINIFS(Results!$G$2:$G$482,Results!$F$2:$F$482,$A26,Results!$A$2:$A$482,AO$4,Results!$G$2:$G$482,"&gt;0"),IF(COUNTIFS(Results!$F$2:$F$482,$A26,Results!$A$2:$A$482,AO$4,Results!$H$2:$H$482,"DNF")&gt;0,"DNF","•")))</f>
        <v/>
      </c>
      <c r="AP26" s="20" t="str">
        <f aca="false">IF(COUNTIFS(Results!$F$2:$F$482,$A26,Results!$A$2:$A$482,AP$4)=0,"",IF(COUNTIFS(Results!$F$2:$F$482,$A26,Results!$A$2:$A$482,AP$4,Results!$G$2:$G$482,"&gt;0")&gt;0,_xlfn.MINIFS(Results!$G$2:$G$482,Results!$F$2:$F$482,$A26,Results!$A$2:$A$482,AP$4,Results!$G$2:$G$482,"&gt;0"),IF(COUNTIFS(Results!$F$2:$F$482,$A26,Results!$A$2:$A$482,AP$4,Results!$H$2:$H$482,"DNF")&gt;0,"DNF","•")))</f>
        <v/>
      </c>
      <c r="AQ26" s="20" t="str">
        <f aca="false">IF(COUNTIFS(Results!$F$2:$F$482,$A26,Results!$A$2:$A$482,AQ$4)=0,"",IF(COUNTIFS(Results!$F$2:$F$482,$A26,Results!$A$2:$A$482,AQ$4,Results!$G$2:$G$482,"&gt;0")&gt;0,_xlfn.MINIFS(Results!$G$2:$G$482,Results!$F$2:$F$482,$A26,Results!$A$2:$A$482,AQ$4,Results!$G$2:$G$482,"&gt;0"),IF(COUNTIFS(Results!$F$2:$F$482,$A26,Results!$A$2:$A$482,AQ$4,Results!$H$2:$H$482,"DNF")&gt;0,"DNF","•")))</f>
        <v/>
      </c>
      <c r="AR26" s="20" t="n">
        <f aca="false">IF(COUNTIFS(Results!$F$2:$F$482,$A26,Results!$A$2:$A$482,AR$4)=0,"",IF(COUNTIFS(Results!$F$2:$F$482,$A26,Results!$A$2:$A$482,AR$4,Results!$G$2:$G$482,"&gt;0")&gt;0,_xlfn.MINIFS(Results!$G$2:$G$482,Results!$F$2:$F$482,$A26,Results!$A$2:$A$482,AR$4,Results!$G$2:$G$482,"&gt;0"),IF(COUNTIFS(Results!$F$2:$F$482,$A26,Results!$A$2:$A$482,AR$4,Results!$H$2:$H$482,"DNF")&gt;0,"DNF","•")))</f>
        <v>90</v>
      </c>
      <c r="AS26" s="20" t="str">
        <f aca="false">IF(COUNTIFS(Results!$F$2:$F$482,$A26,Results!$A$2:$A$482,AS$4)=0,"",IF(COUNTIFS(Results!$F$2:$F$482,$A26,Results!$A$2:$A$482,AS$4,Results!$G$2:$G$482,"&gt;0")&gt;0,_xlfn.MINIFS(Results!$G$2:$G$482,Results!$F$2:$F$482,$A26,Results!$A$2:$A$482,AS$4,Results!$G$2:$G$482,"&gt;0"),IF(COUNTIFS(Results!$F$2:$F$482,$A26,Results!$A$2:$A$482,AS$4,Results!$H$2:$H$482,"DNF")&gt;0,"DNF","•")))</f>
        <v/>
      </c>
      <c r="AT26" s="20" t="str">
        <f aca="false">IF(COUNTIFS(Results!$F$2:$F$482,$A26,Results!$A$2:$A$482,AT$4)=0,"",IF(COUNTIFS(Results!$F$2:$F$482,$A26,Results!$A$2:$A$482,AT$4,Results!$G$2:$G$482,"&gt;0")&gt;0,_xlfn.MINIFS(Results!$G$2:$G$482,Results!$F$2:$F$482,$A26,Results!$A$2:$A$482,AT$4,Results!$G$2:$G$482,"&gt;0"),IF(COUNTIFS(Results!$F$2:$F$482,$A26,Results!$A$2:$A$482,AT$4,Results!$H$2:$H$482,"DNF")&gt;0,"DNF","•")))</f>
        <v/>
      </c>
      <c r="AU26" s="20" t="str">
        <f aca="false">IF(COUNTIFS(Results!$F$2:$F$482,$A26,Results!$A$2:$A$482,AU$4)=0,"",IF(COUNTIFS(Results!$F$2:$F$482,$A26,Results!$A$2:$A$482,AU$4,Results!$G$2:$G$482,"&gt;0")&gt;0,_xlfn.MINIFS(Results!$G$2:$G$482,Results!$F$2:$F$482,$A26,Results!$A$2:$A$482,AU$4,Results!$G$2:$G$482,"&gt;0"),IF(COUNTIFS(Results!$F$2:$F$482,$A26,Results!$A$2:$A$482,AU$4,Results!$H$2:$H$482,"DNF")&gt;0,"DNF","•")))</f>
        <v/>
      </c>
      <c r="AV26" s="20" t="str">
        <f aca="false">IF(COUNTIFS(Results!$F$2:$F$482,$A26,Results!$A$2:$A$482,AV$4)=0,"",IF(COUNTIFS(Results!$F$2:$F$482,$A26,Results!$A$2:$A$482,AV$4,Results!$G$2:$G$482,"&gt;0")&gt;0,_xlfn.MINIFS(Results!$G$2:$G$482,Results!$F$2:$F$482,$A26,Results!$A$2:$A$482,AV$4,Results!$G$2:$G$482,"&gt;0"),IF(COUNTIFS(Results!$F$2:$F$482,$A26,Results!$A$2:$A$482,AV$4,Results!$H$2:$H$482,"DNF")&gt;0,"DNF","•")))</f>
        <v/>
      </c>
      <c r="AW26" s="20" t="str">
        <f aca="false">IF(COUNTIFS(Results!$F$2:$F$482,$A26,Results!$A$2:$A$482,AW$4)=0,"",IF(COUNTIFS(Results!$F$2:$F$482,$A26,Results!$A$2:$A$482,AW$4,Results!$G$2:$G$482,"&gt;0")&gt;0,_xlfn.MINIFS(Results!$G$2:$G$482,Results!$F$2:$F$482,$A26,Results!$A$2:$A$482,AW$4,Results!$G$2:$G$482,"&gt;0"),IF(COUNTIFS(Results!$F$2:$F$482,$A26,Results!$A$2:$A$482,AW$4,Results!$H$2:$H$482,"DNF")&gt;0,"DNF","•")))</f>
        <v/>
      </c>
      <c r="AX26" s="20" t="str">
        <f aca="false">IF(COUNTIFS(Results!$F$2:$F$482,$A26,Results!$A$2:$A$482,AX$4)=0,"",IF(COUNTIFS(Results!$F$2:$F$482,$A26,Results!$A$2:$A$482,AX$4,Results!$G$2:$G$482,"&gt;0")&gt;0,_xlfn.MINIFS(Results!$G$2:$G$482,Results!$F$2:$F$482,$A26,Results!$A$2:$A$482,AX$4,Results!$G$2:$G$482,"&gt;0"),IF(COUNTIFS(Results!$F$2:$F$482,$A26,Results!$A$2:$A$482,AX$4,Results!$H$2:$H$482,"DNF")&gt;0,"DNF","•")))</f>
        <v/>
      </c>
      <c r="AY26" s="20" t="str">
        <f aca="false">IF(COUNTIFS(Results!$F$2:$F$482,$A26,Results!$A$2:$A$482,AY$4)=0,"",IF(COUNTIFS(Results!$F$2:$F$482,$A26,Results!$A$2:$A$482,AY$4,Results!$G$2:$G$482,"&gt;0")&gt;0,_xlfn.MINIFS(Results!$G$2:$G$482,Results!$F$2:$F$482,$A26,Results!$A$2:$A$482,AY$4,Results!$G$2:$G$482,"&gt;0"),IF(COUNTIFS(Results!$F$2:$F$482,$A26,Results!$A$2:$A$482,AY$4,Results!$H$2:$H$482,"DNF")&gt;0,"DNF","•")))</f>
        <v/>
      </c>
      <c r="AZ26" s="20" t="str">
        <f aca="false">IF(COUNTIFS(Results!$F$2:$F$482,$A26,Results!$A$2:$A$482,AZ$4)=0,"",IF(COUNTIFS(Results!$F$2:$F$482,$A26,Results!$A$2:$A$482,AZ$4,Results!$G$2:$G$482,"&gt;0")&gt;0,_xlfn.MINIFS(Results!$G$2:$G$482,Results!$F$2:$F$482,$A26,Results!$A$2:$A$482,AZ$4,Results!$G$2:$G$482,"&gt;0"),IF(COUNTIFS(Results!$F$2:$F$482,$A26,Results!$A$2:$A$482,AZ$4,Results!$H$2:$H$482,"DNF")&gt;0,"DNF","•")))</f>
        <v/>
      </c>
      <c r="BA26" s="20" t="str">
        <f aca="false">IF(COUNTIFS(Results!$F$2:$F$482,$A26,Results!$A$2:$A$482,BA$4)=0,"",IF(COUNTIFS(Results!$F$2:$F$482,$A26,Results!$A$2:$A$482,BA$4,Results!$G$2:$G$482,"&gt;0")&gt;0,_xlfn.MINIFS(Results!$G$2:$G$482,Results!$F$2:$F$482,$A26,Results!$A$2:$A$482,BA$4,Results!$G$2:$G$482,"&gt;0"),IF(COUNTIFS(Results!$F$2:$F$482,$A26,Results!$A$2:$A$482,BA$4,Results!$H$2:$H$482,"DNF")&gt;0,"DNF","•")))</f>
        <v>DNF</v>
      </c>
      <c r="BB26" s="20" t="str">
        <f aca="false">IF(COUNTIFS(Results!$F$2:$F$482,$A26,Results!$A$2:$A$482,BB$4)=0,"",IF(COUNTIFS(Results!$F$2:$F$482,$A26,Results!$A$2:$A$482,BB$4,Results!$G$2:$G$482,"&gt;0")&gt;0,_xlfn.MINIFS(Results!$G$2:$G$482,Results!$F$2:$F$482,$A26,Results!$A$2:$A$482,BB$4,Results!$G$2:$G$482,"&gt;0"),IF(COUNTIFS(Results!$F$2:$F$482,$A26,Results!$A$2:$A$482,BB$4,Results!$H$2:$H$482,"DNF")&gt;0,"DNF","•")))</f>
        <v/>
      </c>
      <c r="BC26" s="20" t="str">
        <f aca="false">IF(COUNTIFS(Results!$F$2:$F$482,$A26,Results!$A$2:$A$482,BC$4)=0,"",IF(COUNTIFS(Results!$F$2:$F$482,$A26,Results!$A$2:$A$482,BC$4,Results!$G$2:$G$482,"&gt;0")&gt;0,_xlfn.MINIFS(Results!$G$2:$G$482,Results!$F$2:$F$482,$A26,Results!$A$2:$A$482,BC$4,Results!$G$2:$G$482,"&gt;0"),IF(COUNTIFS(Results!$F$2:$F$482,$A26,Results!$A$2:$A$482,BC$4,Results!$H$2:$H$482,"DNF")&gt;0,"DNF","•")))</f>
        <v/>
      </c>
      <c r="BD26" s="20" t="str">
        <f aca="false">IF(COUNTIFS(Results!$F$2:$F$482,$A26,Results!$A$2:$A$482,BD$4)=0,"",IF(COUNTIFS(Results!$F$2:$F$482,$A26,Results!$A$2:$A$482,BD$4,Results!$G$2:$G$482,"&gt;0")&gt;0,_xlfn.MINIFS(Results!$G$2:$G$482,Results!$F$2:$F$482,$A26,Results!$A$2:$A$482,BD$4,Results!$G$2:$G$482,"&gt;0"),IF(COUNTIFS(Results!$F$2:$F$482,$A26,Results!$A$2:$A$482,BD$4,Results!$H$2:$H$482,"DNF")&gt;0,"DNF","•")))</f>
        <v/>
      </c>
      <c r="BE26" s="20" t="str">
        <f aca="false">IF(COUNTIFS(Results!$F$2:$F$482,$A26,Results!$A$2:$A$482,BE$4)=0,"",IF(COUNTIFS(Results!$F$2:$F$482,$A26,Results!$A$2:$A$482,BE$4,Results!$G$2:$G$482,"&gt;0")&gt;0,_xlfn.MINIFS(Results!$G$2:$G$482,Results!$F$2:$F$482,$A26,Results!$A$2:$A$482,BE$4,Results!$G$2:$G$482,"&gt;0"),IF(COUNTIFS(Results!$F$2:$F$482,$A26,Results!$A$2:$A$482,BE$4,Results!$H$2:$H$482,"DNF")&gt;0,"DNF","•")))</f>
        <v/>
      </c>
      <c r="BF26" s="20" t="str">
        <f aca="false">IF(COUNTIFS(Results!$F$2:$F$482,$A26,Results!$A$2:$A$482,BF$4)=0,"",IF(COUNTIFS(Results!$F$2:$F$482,$A26,Results!$A$2:$A$482,BF$4,Results!$G$2:$G$482,"&gt;0")&gt;0,_xlfn.MINIFS(Results!$G$2:$G$482,Results!$F$2:$F$482,$A26,Results!$A$2:$A$482,BF$4,Results!$G$2:$G$482,"&gt;0"),IF(COUNTIFS(Results!$F$2:$F$482,$A26,Results!$A$2:$A$482,BF$4,Results!$H$2:$H$482,"DNF")&gt;0,"DNF","•")))</f>
        <v/>
      </c>
      <c r="BG26" s="20" t="str">
        <f aca="false">IF(COUNTIFS(Results!$F$2:$F$482,$A26,Results!$A$2:$A$482,BG$4)=0,"",IF(COUNTIFS(Results!$F$2:$F$482,$A26,Results!$A$2:$A$482,BG$4,Results!$G$2:$G$482,"&gt;0")&gt;0,_xlfn.MINIFS(Results!$G$2:$G$482,Results!$F$2:$F$482,$A26,Results!$A$2:$A$482,BG$4,Results!$G$2:$G$482,"&gt;0"),IF(COUNTIFS(Results!$F$2:$F$482,$A26,Results!$A$2:$A$482,BG$4,Results!$H$2:$H$482,"DNF")&gt;0,"DNF","•")))</f>
        <v/>
      </c>
      <c r="BH26" s="20" t="str">
        <f aca="false">IF(COUNTIFS(Results!$F$2:$F$482,$A26,Results!$A$2:$A$482,BH$4)=0,"",IF(COUNTIFS(Results!$F$2:$F$482,$A26,Results!$A$2:$A$482,BH$4,Results!$G$2:$G$482,"&gt;0")&gt;0,_xlfn.MINIFS(Results!$G$2:$G$482,Results!$F$2:$F$482,$A26,Results!$A$2:$A$482,BH$4,Results!$G$2:$G$482,"&gt;0"),IF(COUNTIFS(Results!$F$2:$F$482,$A26,Results!$A$2:$A$482,BH$4,Results!$H$2:$H$482,"DNF")&gt;0,"DNF","•")))</f>
        <v/>
      </c>
      <c r="BI26" s="20" t="str">
        <f aca="false">IF(COUNTIFS(Results!$F$2:$F$482,$A26,Results!$A$2:$A$482,BI$4)=0,"",IF(COUNTIFS(Results!$F$2:$F$482,$A26,Results!$A$2:$A$482,BI$4,Results!$G$2:$G$482,"&gt;0")&gt;0,_xlfn.MINIFS(Results!$G$2:$G$482,Results!$F$2:$F$482,$A26,Results!$A$2:$A$482,BI$4,Results!$G$2:$G$482,"&gt;0"),IF(COUNTIFS(Results!$F$2:$F$482,$A26,Results!$A$2:$A$482,BI$4,Results!$H$2:$H$482,"DNF")&gt;0,"DNF","•")))</f>
        <v/>
      </c>
      <c r="BJ26" s="20" t="str">
        <f aca="false">IF(COUNTIFS(Results!$F$2:$F$482,$A26,Results!$A$2:$A$482,BJ$4)=0,"",IF(COUNTIFS(Results!$F$2:$F$482,$A26,Results!$A$2:$A$482,BJ$4,Results!$G$2:$G$482,"&gt;0")&gt;0,_xlfn.MINIFS(Results!$G$2:$G$482,Results!$F$2:$F$482,$A26,Results!$A$2:$A$482,BJ$4,Results!$G$2:$G$482,"&gt;0"),IF(COUNTIFS(Results!$F$2:$F$482,$A26,Results!$A$2:$A$482,BJ$4,Results!$H$2:$H$482,"DNF")&gt;0,"DNF","•")))</f>
        <v/>
      </c>
      <c r="BK26" s="20" t="str">
        <f aca="false">IF(COUNTIFS(Results!$F$2:$F$482,$A26,Results!$A$2:$A$482,BK$4)=0,"",IF(COUNTIFS(Results!$F$2:$F$482,$A26,Results!$A$2:$A$482,BK$4,Results!$G$2:$G$482,"&gt;0")&gt;0,_xlfn.MINIFS(Results!$G$2:$G$482,Results!$F$2:$F$482,$A26,Results!$A$2:$A$482,BK$4,Results!$G$2:$G$482,"&gt;0"),IF(COUNTIFS(Results!$F$2:$F$482,$A26,Results!$A$2:$A$482,BK$4,Results!$H$2:$H$482,"DNF")&gt;0,"DNF","•")))</f>
        <v/>
      </c>
      <c r="BL26" s="20" t="str">
        <f aca="false">IF(COUNTIFS(Results!$F$2:$F$482,$A26,Results!$A$2:$A$482,BL$4)=0,"",IF(COUNTIFS(Results!$F$2:$F$482,$A26,Results!$A$2:$A$482,BL$4,Results!$G$2:$G$482,"&gt;0")&gt;0,_xlfn.MINIFS(Results!$G$2:$G$482,Results!$F$2:$F$482,$A26,Results!$A$2:$A$482,BL$4,Results!$G$2:$G$482,"&gt;0"),IF(COUNTIFS(Results!$F$2:$F$482,$A26,Results!$A$2:$A$482,BL$4,Results!$H$2:$H$482,"DNF")&gt;0,"DNF","•")))</f>
        <v/>
      </c>
    </row>
    <row r="28" customFormat="false" ht="15" hidden="false" customHeight="false" outlineLevel="0" collapsed="false">
      <c r="A28" s="7" t="s">
        <v>503</v>
      </c>
    </row>
    <row r="29" customFormat="false" ht="15" hidden="false" customHeight="false" outlineLevel="0" collapsed="false">
      <c r="A29" s="21"/>
      <c r="B29" s="22" t="s">
        <v>504</v>
      </c>
    </row>
    <row r="30" customFormat="false" ht="15" hidden="false" customHeight="false" outlineLevel="0" collapsed="false">
      <c r="A30" s="23"/>
      <c r="B30" s="22" t="s">
        <v>505</v>
      </c>
    </row>
    <row r="31" customFormat="false" ht="15" hidden="false" customHeight="false" outlineLevel="0" collapsed="false">
      <c r="A31" s="24"/>
      <c r="B31" s="22" t="s">
        <v>506</v>
      </c>
    </row>
    <row r="32" customFormat="false" ht="15" hidden="false" customHeight="false" outlineLevel="0" collapsed="false">
      <c r="A32" s="25" t="s">
        <v>139</v>
      </c>
      <c r="B32" s="22" t="s">
        <v>507</v>
      </c>
    </row>
  </sheetData>
  <conditionalFormatting sqref="B7:BL26">
    <cfRule type="expression" priority="2" aboveAverage="0" equalAverage="0" bottom="0" percent="0" rank="0" text="" dxfId="11">
      <formula>B7=1</formula>
    </cfRule>
    <cfRule type="expression" priority="3" aboveAverage="0" equalAverage="0" bottom="0" percent="0" rank="0" text="" dxfId="10">
      <formula>AND(ISNUMBER(B7),B7&gt;1,B7&lt;=3)</formula>
    </cfRule>
    <cfRule type="expression" priority="4" aboveAverage="0" equalAverage="0" bottom="0" percent="0" rank="0" text="" dxfId="5">
      <formula>AND(ISNUMBER(B7),B7&gt;3,B7&lt;=10)</formula>
    </cfRule>
    <cfRule type="expression" priority="5" aboveAverage="0" equalAverage="0" bottom="0" percent="0" rank="0" text="" dxfId="6">
      <formula>B7="DNF"</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2026-09-30T20:02:04Z</dcterms:created>
  <dc:creator>openpyxl</dc:creator>
  <dc:description/>
  <dc:language>en-US</dc:language>
  <cp:lastModifiedBy/>
  <dcterms:modified xsi:type="dcterms:W3CDTF">2026-09-30T20:02:04Z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